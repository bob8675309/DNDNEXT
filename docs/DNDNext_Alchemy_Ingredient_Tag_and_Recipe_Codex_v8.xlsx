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a11804eaac4c27" /></Relationships>
</file>

<file path=xl/workbook.xml><?xml version="1.0" encoding="utf-8"?>
<x:workbook xmlns:x="http://schemas.openxmlformats.org/spreadsheetml/2006/main">
  <x:sheets>
    <x:sheet xmlns:r="http://schemas.openxmlformats.org/officeDocument/2006/relationships" name="Start Here" sheetId="1" r:id="R2dc45b8f923b42f7"/>
    <x:sheet xmlns:r="http://schemas.openxmlformats.org/officeDocument/2006/relationships" name="Ingredients" sheetId="2" r:id="Rdf4b2e1c4b054ca2"/>
    <x:sheet xmlns:r="http://schemas.openxmlformats.org/officeDocument/2006/relationships" name="Recipes" sheetId="3" r:id="R28ac95af45954726"/>
    <x:sheet xmlns:r="http://schemas.openxmlformats.org/officeDocument/2006/relationships" name="Tag Index" sheetId="4" r:id="R7792b9744a3441b6"/>
    <x:sheet xmlns:r="http://schemas.openxmlformats.org/officeDocument/2006/relationships" name="Shared Templates" sheetId="5" r:id="R0d07ac16418a46e1"/>
    <x:sheet xmlns:r="http://schemas.openxmlformats.org/officeDocument/2006/relationships" name="Brew Quality" sheetId="6" r:id="Rcc17d86822b14791"/>
    <x:sheet xmlns:r="http://schemas.openxmlformats.org/officeDocument/2006/relationships" name="Family Guide" sheetId="7" r:id="R6b88528dfbaf42b9"/>
    <x:sheet xmlns:r="http://schemas.openxmlformats.org/officeDocument/2006/relationships" name="Attribute Guide" sheetId="8" r:id="R2aa218e84a03458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8"/>
      <x:color rgb="F8FAFC"/>
      <x:name val="Carlito"/>
    </x:font>
    <x:font>
      <x:b/>
      <x:sz val="11"/>
      <x:color rgb="FACC15"/>
      <x:name val="Carlito"/>
    </x:font>
    <x:font>
      <x:b/>
      <x:sz val="11"/>
      <x:color rgb="FFFFFF"/>
      <x:name val="Carlito"/>
    </x:font>
  </x:fonts>
  <x:fills count="5">
    <x:fill>
      <x:patternFill patternType="none"/>
    </x:fill>
    <x:fill>
      <x:patternFill patternType="gray125"/>
    </x:fill>
    <x:fill>
      <x:patternFill patternType="solid">
        <x:fgColor rgb="172033"/>
      </x:patternFill>
    </x:fill>
    <x:fill>
      <x:patternFill patternType="solid">
        <x:fgColor rgb="24324A"/>
      </x:patternFill>
    </x:fill>
    <x:fill>
      <x:patternFill patternType="solid">
        <x:fgColor rgb="1F3A5F"/>
      </x:patternFill>
    </x:fill>
  </x:fills>
  <x:borders count="18">
    <x:border/>
    <x:border/>
    <x:border>
      <x:left>
        <x:color rgb="475569"/>
      </x:left>
      <x:top>
        <x:color rgb="475569"/>
      </x:top>
    </x:border>
    <x:border>
      <x:right>
        <x:color rgb="475569"/>
      </x:right>
      <x:top>
        <x:color rgb="475569"/>
      </x:top>
    </x:border>
    <x:border>
      <x:left>
        <x:color rgb="475569"/>
      </x:left>
    </x:border>
    <x:border>
      <x:right>
        <x:color rgb="475569"/>
      </x:right>
    </x:border>
    <x:border>
      <x:left>
        <x:color rgb="475569"/>
      </x:left>
      <x:bottom>
        <x:color rgb="475569"/>
      </x:bottom>
    </x:border>
    <x:border>
      <x:right>
        <x:color rgb="475569"/>
      </x:right>
      <x:bottom>
        <x:color rgb="475569"/>
      </x:bottom>
    </x:border>
    <x:border>
      <x:left>
        <x:color rgb="475569"/>
      </x:left>
      <x:top>
        <x:color rgb="475569"/>
      </x:top>
    </x:border>
    <x:border>
      <x:right>
        <x:color rgb="475569"/>
      </x:right>
      <x:top>
        <x:color rgb="475569"/>
      </x:top>
    </x:border>
    <x:border>
      <x:left>
        <x:color rgb="475569"/>
      </x:left>
    </x:border>
    <x:border>
      <x:right>
        <x:color rgb="475569"/>
      </x:right>
    </x:border>
    <x:border>
      <x:left>
        <x:color rgb="475569"/>
      </x:left>
      <x:bottom>
        <x:color rgb="475569"/>
      </x:bottom>
    </x:border>
    <x:border>
      <x:right>
        <x:color rgb="475569"/>
      </x:right>
      <x:bottom>
        <x:color rgb="475569"/>
      </x:bottom>
    </x:border>
    <x:border>
      <x:top>
        <x:color rgb="475569"/>
      </x:top>
    </x:border>
    <x:border>
      <x:bottom>
        <x:color rgb="475569"/>
      </x:bottom>
    </x:border>
    <x:border>
      <x:top>
        <x:color rgb="475569"/>
      </x:top>
    </x:border>
    <x:border>
      <x:bottom>
        <x:color rgb="475569"/>
      </x:bottom>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3" fillId="4"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3" fillId="4"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cellXfs>
  <x:cellStyles count="1">
    <x:cellStyle name="Normal" xfId="0"/>
  </x:cellStyles>
  <x:dxfs count="15">
    <x:dxf>
      <x:font>
        <x:b/>
        <x:color rgb="111827"/>
      </x:font>
      <x:fill>
        <x:patternFill patternType="solid">
          <x:bgColor rgb="E2E8F0"/>
        </x:patternFill>
      </x:fill>
    </x:dxf>
    <x:dxf>
      <x:font>
        <x:b/>
        <x:color rgb="111827"/>
      </x:font>
      <x:fill>
        <x:patternFill patternType="solid">
          <x:bgColor rgb="BBF7D0"/>
        </x:patternFill>
      </x:fill>
    </x:dxf>
    <x:dxf>
      <x:font>
        <x:b/>
        <x:color rgb="111827"/>
      </x:font>
      <x:fill>
        <x:patternFill patternType="solid">
          <x:bgColor rgb="BFDBFE"/>
        </x:patternFill>
      </x:fill>
    </x:dxf>
    <x:dxf>
      <x:font>
        <x:b/>
        <x:color rgb="111827"/>
      </x:font>
      <x:fill>
        <x:patternFill patternType="solid">
          <x:bgColor rgb="DDD6FE"/>
        </x:patternFill>
      </x:fill>
    </x:dxf>
    <x:dxf>
      <x:font>
        <x:b/>
        <x:color rgb="111827"/>
      </x:font>
      <x:fill>
        <x:patternFill patternType="solid">
          <x:bgColor rgb="FDE68A"/>
        </x:patternFill>
      </x:fill>
    </x:dxf>
    <x:dxf>
      <x:font>
        <x:b/>
        <x:color rgb="111827"/>
      </x:font>
      <x:fill>
        <x:patternFill patternType="solid">
          <x:bgColor rgb="DBEAFE"/>
        </x:patternFill>
      </x:fill>
    </x:dxf>
    <x:dxf>
      <x:font>
        <x:b/>
        <x:color rgb="111827"/>
      </x:font>
      <x:fill>
        <x:patternFill patternType="solid">
          <x:bgColor rgb="FECACA"/>
        </x:patternFill>
      </x:fill>
    </x:dxf>
    <x:dxf>
      <x:font>
        <x:b/>
        <x:color rgb="111827"/>
      </x:font>
      <x:fill>
        <x:patternFill patternType="solid">
          <x:bgColor rgb="FED7AA"/>
        </x:patternFill>
      </x:fill>
    </x:dxf>
    <x:dxf>
      <x:font>
        <x:b/>
        <x:color rgb="111827"/>
      </x:font>
      <x:fill>
        <x:patternFill patternType="solid">
          <x:bgColor rgb="D1FAE5"/>
        </x:patternFill>
      </x:fill>
    </x:dxf>
    <x:dxf>
      <x:font>
        <x:b/>
        <x:color rgb="111827"/>
      </x:font>
      <x:fill>
        <x:patternFill patternType="solid">
          <x:bgColor rgb="FEF3C7"/>
        </x:patternFill>
      </x:fill>
    </x:dxf>
    <x:dxf>
      <x:font>
        <x:b/>
        <x:color rgb="111827"/>
      </x:font>
      <x:fill>
        <x:patternFill patternType="solid">
          <x:bgColor rgb="E2E8F0"/>
        </x:patternFill>
      </x:fill>
    </x:dxf>
    <x:dxf>
      <x:font>
        <x:b/>
        <x:color rgb="111827"/>
      </x:font>
      <x:fill>
        <x:patternFill patternType="solid">
          <x:bgColor rgb="BBF7D0"/>
        </x:patternFill>
      </x:fill>
    </x:dxf>
    <x:dxf>
      <x:font>
        <x:b/>
        <x:color rgb="111827"/>
      </x:font>
      <x:fill>
        <x:patternFill patternType="solid">
          <x:bgColor rgb="BFDBFE"/>
        </x:patternFill>
      </x:fill>
    </x:dxf>
    <x:dxf>
      <x:font>
        <x:b/>
        <x:color rgb="111827"/>
      </x:font>
      <x:fill>
        <x:patternFill patternType="solid">
          <x:bgColor rgb="DDD6FE"/>
        </x:patternFill>
      </x:fill>
    </x:dxf>
    <x:dxf>
      <x:font>
        <x:b/>
        <x:color rgb="111827"/>
      </x:font>
      <x:fill>
        <x:patternFill patternType="solid">
          <x:bgColor rgb="FDE68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dd9853ced44fc3" /><Relationship Type="http://schemas.openxmlformats.org/officeDocument/2006/relationships/theme" Target="/xl/theme/theme1.xml" Id="Rfae29c9834d54071" /><Relationship Type="http://schemas.openxmlformats.org/officeDocument/2006/relationships/sharedStrings" Target="/xl/sharedStrings.xml" Id="R99274be2b2004b02" /><Relationship Type="http://schemas.openxmlformats.org/officeDocument/2006/relationships/worksheet" Target="/xl/worksheets/sheet1.xml" Id="R2dc45b8f923b42f7" /><Relationship Type="http://schemas.openxmlformats.org/officeDocument/2006/relationships/worksheet" Target="/xl/worksheets/sheet2.xml" Id="Rdf4b2e1c4b054ca2" /><Relationship Type="http://schemas.openxmlformats.org/officeDocument/2006/relationships/worksheet" Target="/xl/worksheets/sheet3.xml" Id="R28ac95af45954726" /><Relationship Type="http://schemas.openxmlformats.org/officeDocument/2006/relationships/worksheet" Target="/xl/worksheets/sheet4.xml" Id="R7792b9744a3441b6" /><Relationship Type="http://schemas.openxmlformats.org/officeDocument/2006/relationships/worksheet" Target="/xl/worksheets/sheet5.xml" Id="R0d07ac16418a46e1" /><Relationship Type="http://schemas.openxmlformats.org/officeDocument/2006/relationships/worksheet" Target="/xl/worksheets/sheet6.xml" Id="Rcc17d86822b14791" /><Relationship Type="http://schemas.openxmlformats.org/officeDocument/2006/relationships/worksheet" Target="/xl/worksheets/sheet7.xml" Id="R6b88528dfbaf42b9" /><Relationship Type="http://schemas.openxmlformats.org/officeDocument/2006/relationships/worksheet" Target="/xl/worksheets/sheet8.xml" Id="R2aa218e84a034582" /></Relationships>
</file>

<file path=xl/drawings/_rels/drawing1.xml.rels>&#65279;<?xml version="1.0" encoding="utf-8"?><Relationships xmlns="http://schemas.openxmlformats.org/package/2006/relationships"><Relationship Type="http://schemas.openxmlformats.org/officeDocument/2006/relationships/chart" Target="/xl/drawings/charts/chart1.xml" Id="Rf72ddcaf1a2249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Brews by Type</a:t>
            </a:r>
          </a:p>
        </c:rich>
      </c:tx>
      <c:overlay val="0"/>
    </c:title>
    <c:autoTitleDeleted val="0"/>
    <c:plotArea>
      <c:layout/>
      <c:barChart>
        <c:barDir val="col"/>
        <c:grouping val="clustered"/>
        <c:varyColors val="0"/>
        <c:ser>
          <c:idx val="0"/>
          <c:order val="0"/>
          <c:tx>
            <c:v>Count</c:v>
          </c:tx>
          <c:cat>
            <c:strRef>
              <c:f>'Start Here'!$D$6:$D$10</c:f>
              <c:strCache>
                <c:ptCount val="0"/>
              </c:strCache>
            </c:strRef>
          </c:cat>
          <c:val>
            <c:numRef>
              <c:f>'Start Here'!$E$6:$E$10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2ddcaf1a2249c1"/>
        </a:graphicData>
      </a:graphic>
    </xdr:graphicFrame>
    <xdr:clientData/>
  </xdr:twoCellAnchor>
</xdr:wsDr>
</file>

<file path=xl/tables/table1.xml><?xml version="1.0" encoding="utf-8"?>
<x:table xmlns:x="http://schemas.openxmlformats.org/spreadsheetml/2006/main" id="1" name="AlchemyIngredientsV8" displayName="AlchemyIngredientsV8" ref="A1:N231" headerRowCount="1">
  <x:tableColumns count="14">
    <x:tableColumn id="1" name="Slot"/>
    <x:tableColumn id="2" name="Family"/>
    <x:tableColumn id="3" name="Rarity"/>
    <x:tableColumn id="4" name="Ingredient"/>
    <x:tableColumn id="5" name="Craft DC Reduction"/>
    <x:tableColumn id="6" name="Effect %"/>
    <x:tableColumn id="7" name="Duration %"/>
    <x:tableColumn id="8" name="Area / Range %"/>
    <x:tableColumn id="9" name="Extra Doses"/>
    <x:tableColumn id="10" name="Save DC"/>
    <x:tableColumn id="11" name="Die Step"/>
    <x:tableColumn id="12" name="Type Direction"/>
    <x:tableColumn id="13" name="Player-Facing Tags"/>
    <x:tableColumn id="14" name="Physical Description"/>
  </x:tableColumns>
  <x:tableStyleInfo name="TableStyleMedium2" showRowStripes="1"/>
</x:table>
</file>

<file path=xl/tables/table2.xml><?xml version="1.0" encoding="utf-8"?>
<x:table xmlns:x="http://schemas.openxmlformats.org/spreadsheetml/2006/main" id="2" name="AlchemyRecipesV8" displayName="AlchemyRecipesV8" ref="A1:P107" headerRowCount="1">
  <x:tableColumns count="16">
    <x:tableColumn id="1" name="Type"/>
    <x:tableColumn id="2" name="Recipe Group"/>
    <x:tableColumn id="3" name="Recipe"/>
    <x:tableColumn id="4" name="Rarity"/>
    <x:tableColumn id="5" name="Base Craft DC"/>
    <x:tableColumn id="6" name="Core Ingredient 1"/>
    <x:tableColumn id="7" name="Core Ingredient 2"/>
    <x:tableColumn id="8" name="Core Ingredient 3"/>
    <x:tableColumn id="9" name="Three-Ingredient Formula"/>
    <x:tableColumn id="10" name="Required Fourth-Slot Tags"/>
    <x:tableColumn id="11" name="Picker Label"/>
    <x:tableColumn id="12" name="Fourth Slot Required?"/>
    <x:tableColumn id="13" name="Duration"/>
    <x:tableColumn id="14" name="Effect"/>
    <x:tableColumn id="15" name="Use"/>
    <x:tableColumn id="16" name="Shared Template"/>
  </x:tableColumns>
  <x:tableStyleInfo name="TableStyleMedium2" showRowStripes="1"/>
</x:table>
</file>

<file path=xl/tables/table3.xml><?xml version="1.0" encoding="utf-8"?>
<x:table xmlns:x="http://schemas.openxmlformats.org/spreadsheetml/2006/main" id="3" name="AlchemyTagIndexV8" displayName="AlchemyTagIndexV8" ref="A1:F36" headerRowCount="1">
  <x:tableColumns count="6">
    <x:tableColumn id="1" name="Tag"/>
    <x:tableColumn id="2" name="Compatible Ingredients"/>
    <x:tableColumn id="3" name="Resistance Elixirs"/>
    <x:tableColumn id="4" name="Immunity Elixirs"/>
    <x:tableColumn id="5" name="Bombs"/>
    <x:tableColumn id="6" name="O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47d95c9856d45ed" /></Relationships>
</file>

<file path=xl/worksheets/_rels/sheet2.xml.rels>&#65279;<?xml version="1.0" encoding="utf-8"?><Relationships xmlns="http://schemas.openxmlformats.org/package/2006/relationships"><Relationship Type="http://schemas.openxmlformats.org/officeDocument/2006/relationships/table" Target="/xl/tables/table1.xml" Id="R2c7aa837b4bc4451" /></Relationships>
</file>

<file path=xl/worksheets/_rels/sheet3.xml.rels>&#65279;<?xml version="1.0" encoding="utf-8"?><Relationships xmlns="http://schemas.openxmlformats.org/package/2006/relationships"><Relationship Type="http://schemas.openxmlformats.org/officeDocument/2006/relationships/table" Target="/xl/tables/table2.xml" Id="Rde4b133ec34b452b" /></Relationships>
</file>

<file path=xl/worksheets/_rels/sheet4.xml.rels>&#65279;<?xml version="1.0" encoding="utf-8"?><Relationships xmlns="http://schemas.openxmlformats.org/package/2006/relationships"><Relationship Type="http://schemas.openxmlformats.org/officeDocument/2006/relationships/table" Target="/xl/tables/table3.xml" Id="R2e40ddce831b40a4" /></Relationships>
</file>

<file path=xl/worksheets/sheet1.xml><?xml version="1.0" encoding="utf-8"?>
<x:worksheet xmlns:x="http://schemas.openxmlformats.org/spreadsheetml/2006/main">
  <x:sheetFormatPr defaultRowHeight="15"/>
  <x:cols>
    <x:col min="1" max="1" width="23" hidden="0" customWidth="1"/>
    <x:col min="2" max="2" width="76" hidden="0" customWidth="1"/>
    <x:col min="4" max="4" width="18" hidden="0" customWidth="1"/>
    <x:col min="5" max="5" width="12" hidden="0" customWidth="1"/>
    <x:col min="7" max="7" width="16" hidden="0" customWidth="1"/>
    <x:col min="8" max="8" width="28" hidden="0" customWidth="1"/>
    <x:col min="9" max="9" width="12" hidden="0" customWidth="1"/>
  </x:cols>
  <x:sheetData>
    <x:row r="1" ht="28" customHeight="1">
      <x:c r="A1" s="5" t="str">
        <x:v>DNDNext Alchemy Ingredient, Tag &amp; Recipe Codex v8</x:v>
      </x:c>
      <x:c r="B1" s="5"/>
      <x:c r="C1" s="5"/>
      <x:c r="D1" s="5"/>
      <x:c r="E1" s="5"/>
      <x:c r="F1" s="5"/>
      <x:c r="G1" s="5"/>
      <x:c r="H1" s="5"/>
      <x:c r="I1" s="5"/>
    </x:row>
    <x:row r="2" ht="28" customHeight="1">
      <x:c r="A2" s="5"/>
      <x:c r="B2" s="5"/>
      <x:c r="C2" s="5"/>
      <x:c r="D2" s="5"/>
      <x:c r="E2" s="5"/>
      <x:c r="F2" s="5"/>
      <x:c r="G2" s="5"/>
      <x:c r="H2" s="5"/>
      <x:c r="I2" s="5"/>
    </x:row>
    <x:row r="4">
      <x:c r="A4" s="12" t="str">
        <x:v>Neutral Tag Model</x:v>
      </x:c>
      <x:c r="B4" s="12"/>
      <x:c r="C4" s="12"/>
      <x:c r="D4" s="12"/>
      <x:c r="E4" s="12"/>
      <x:c r="F4" s="12"/>
      <x:c r="G4" s="12"/>
      <x:c r="H4" s="12"/>
      <x:c r="I4" s="12"/>
    </x:row>
    <x:row r="5">
      <x:c r="A5" s="26" t="str">
        <x:v>Rule</x:v>
      </x:c>
      <x:c r="B5" s="27" t="str">
        <x:v>Player-facing explanation</x:v>
      </x:c>
      <x:c r="D5" s="26" t="str">
        <x:v>Brew Type</x:v>
      </x:c>
      <x:c r="E5" s="27" t="str">
        <x:v>Count</x:v>
      </x:c>
      <x:c r="G5" s="26" t="str">
        <x:v>Section</x:v>
      </x:c>
      <x:c r="H5" s="46" t="str">
        <x:v>Recipe Group</x:v>
      </x:c>
      <x:c r="I5" s="27" t="str">
        <x:v>Count</x:v>
      </x:c>
    </x:row>
    <x:row r="6">
      <x:c r="A6" s="38" t="str">
        <x:v>Monster Parts</x:v>
      </x:c>
      <x:c r="B6" s="39" t="str">
        <x:v>All creature-harvested glands, motes, blood, essences, bile, and similar materials use the player-facing family Monster Parts.</x:v>
      </x:c>
      <x:c r="D6" s="28" t="str">
        <x:v>Potions</x:v>
      </x:c>
      <x:c r="E6" s="29" t="n">
        <x:v>26</x:v>
      </x:c>
      <x:c r="G6" s="28" t="str">
        <x:v>Potions</x:v>
      </x:c>
      <x:c r="H6" s="47" t="str">
        <x:v>General Potions</x:v>
      </x:c>
      <x:c r="I6" s="29" t="n">
        <x:v>26</x:v>
      </x:c>
    </x:row>
    <x:row r="7">
      <x:c r="A7" s="38" t="str">
        <x:v>Visible neutral tags</x:v>
      </x:c>
      <x:c r="B7" s="39" t="str">
        <x:v>Ingredients display useful tags such as Fire, Cold, Psychic, Confusion, or Fear. The tag itself is neutral.</x:v>
      </x:c>
      <x:c r="D7" s="28" t="str">
        <x:v>Poisons</x:v>
      </x:c>
      <x:c r="E7" s="29" t="n">
        <x:v>12</x:v>
      </x:c>
      <x:c r="G7" s="28" t="str">
        <x:v>Poisons</x:v>
      </x:c>
      <x:c r="H7" s="47" t="str">
        <x:v>Ability Poisons</x:v>
      </x:c>
      <x:c r="I7" s="29" t="n">
        <x:v>6</x:v>
      </x:c>
    </x:row>
    <x:row r="8">
      <x:c r="A8" s="38" t="str">
        <x:v>Fourth-slot filtering</x:v>
      </x:c>
      <x:c r="B8" s="39" t="str">
        <x:v>A recipe only shows fourth-slot ingredients carrying at least one of its required tags.</x:v>
      </x:c>
      <x:c r="D8" s="28" t="str">
        <x:v>Bombs</x:v>
      </x:c>
      <x:c r="E8" s="29" t="n">
        <x:v>20</x:v>
      </x:c>
      <x:c r="G8" s="28" t="str">
        <x:v>Poisons</x:v>
      </x:c>
      <x:c r="H8" s="47" t="str">
        <x:v>Special Poisons</x:v>
      </x:c>
      <x:c r="I8" s="29" t="n">
        <x:v>6</x:v>
      </x:c>
    </x:row>
    <x:row r="9">
      <x:c r="A9" s="38" t="str">
        <x:v>Individual recipes</x:v>
      </x:c>
      <x:c r="B9" s="39" t="str">
        <x:v>Resistance elixirs, immunity elixirs, elemental/condition bombs, and elemental/condition oils are listed individually.</x:v>
      </x:c>
      <x:c r="D9" s="28" t="str">
        <x:v>Elixirs</x:v>
      </x:c>
      <x:c r="E9" s="29" t="n">
        <x:v>26</x:v>
      </x:c>
      <x:c r="G9" s="28" t="str">
        <x:v>Bombs</x:v>
      </x:c>
      <x:c r="H9" s="47" t="str">
        <x:v>Condition Bombs</x:v>
      </x:c>
      <x:c r="I9" s="29" t="n">
        <x:v>10</x:v>
      </x:c>
    </x:row>
    <x:row r="10">
      <x:c r="A10" s="38" t="str">
        <x:v>Shared templates</x:v>
      </x:c>
      <x:c r="B10" s="39" t="str">
        <x:v>Individual recipes share template_key rules behind the scenes so the player list remains clear without duplicating calculation code.</x:v>
      </x:c>
      <x:c r="D10" s="30" t="str">
        <x:v>Oils</x:v>
      </x:c>
      <x:c r="E10" s="31" t="n">
        <x:v>22</x:v>
      </x:c>
      <x:c r="G10" s="28" t="str">
        <x:v>Bombs</x:v>
      </x:c>
      <x:c r="H10" s="47" t="str">
        <x:v>Elemental Bombs</x:v>
      </x:c>
      <x:c r="I10" s="29" t="n">
        <x:v>10</x:v>
      </x:c>
    </x:row>
    <x:row r="11">
      <x:c r="A11" s="40" t="str">
        <x:v>Brew Quality</x:v>
      </x:c>
      <x:c r="B11" s="41" t="str">
        <x:v>Only the three core ingredients create Quality Steps. Fourth-slot tags direct the recipe but do not add Quality Steps.</x:v>
      </x:c>
      <x:c r="G11" s="28" t="str">
        <x:v>Elixirs</x:v>
      </x:c>
      <x:c r="H11" s="47" t="str">
        <x:v>Ability Elixirs</x:v>
      </x:c>
      <x:c r="I11" s="29" t="n">
        <x:v>6</x:v>
      </x:c>
    </x:row>
    <x:row r="12">
      <x:c r="G12" s="28" t="str">
        <x:v>Elixirs</x:v>
      </x:c>
      <x:c r="H12" s="47" t="str">
        <x:v>Immunity Elixirs</x:v>
      </x:c>
      <x:c r="I12" s="29" t="n">
        <x:v>10</x:v>
      </x:c>
    </x:row>
    <x:row r="13">
      <x:c r="G13" s="28" t="str">
        <x:v>Elixirs</x:v>
      </x:c>
      <x:c r="H13" s="47" t="str">
        <x:v>Resistance Elixirs</x:v>
      </x:c>
      <x:c r="I13" s="29" t="n">
        <x:v>10</x:v>
      </x:c>
    </x:row>
    <x:row r="14">
      <x:c r="G14" s="28" t="str">
        <x:v>Oils</x:v>
      </x:c>
      <x:c r="H14" s="47" t="str">
        <x:v>Condition Oils</x:v>
      </x:c>
      <x:c r="I14" s="29" t="n">
        <x:v>10</x:v>
      </x:c>
    </x:row>
    <x:row r="15">
      <x:c r="G15" s="28" t="str">
        <x:v>Oils</x:v>
      </x:c>
      <x:c r="H15" s="47" t="str">
        <x:v>Elemental Oils</x:v>
      </x:c>
      <x:c r="I15" s="29" t="n">
        <x:v>10</x:v>
      </x:c>
    </x:row>
    <x:row r="16">
      <x:c r="G16" s="30" t="str">
        <x:v>Oils</x:v>
      </x:c>
      <x:c r="H16" s="48" t="str">
        <x:v>Utility Oils</x:v>
      </x:c>
      <x:c r="I16" s="31" t="n">
        <x:v>2</x:v>
      </x:c>
    </x:row>
  </x:sheetData>
  <x:mergeCells>
    <x:mergeCell ref="A1:I2"/>
    <x:mergeCell ref="A4:I4"/>
  </x:mergeCells>
  <x:pageMargins left="0.7" right="0.7" top="0.75" bottom="0.75" header="0.3" footer="0.3"/>
  <x:drawing xmlns:r="http://schemas.openxmlformats.org/officeDocument/2006/relationships" r:id="Re47d95c9856d45ed"/>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13" hidden="0" customWidth="1"/>
    <x:col min="4" max="4" width="27" hidden="0" customWidth="1"/>
    <x:col min="5" max="5" width="18" hidden="0" customWidth="1"/>
    <x:col min="6" max="6" width="10" hidden="0" customWidth="1"/>
    <x:col min="7" max="7" width="11" hidden="0" customWidth="1"/>
    <x:col min="8" max="8" width="14" hidden="0" customWidth="1"/>
    <x:col min="9" max="9" width="11" hidden="0" customWidth="1"/>
    <x:col min="10" max="10" width="9" hidden="0" customWidth="1"/>
    <x:col min="11" max="11" width="9" hidden="0" customWidth="1"/>
    <x:col min="12" max="12" width="15" hidden="0" customWidth="1"/>
    <x:col min="13" max="13" width="35" hidden="0" customWidth="1"/>
    <x:col min="14" max="14" width="58" hidden="0" customWidth="1"/>
  </x:cols>
  <x:sheetData>
    <x:row r="1">
      <x:c r="A1" s="26" t="str">
        <x:v>Slot</x:v>
      </x:c>
      <x:c r="B1" s="46" t="str">
        <x:v>Family</x:v>
      </x:c>
      <x:c r="C1" s="46" t="str">
        <x:v>Rarity</x:v>
      </x:c>
      <x:c r="D1" s="46" t="str">
        <x:v>Ingredient</x:v>
      </x:c>
      <x:c r="E1" s="46" t="str">
        <x:v>Craft DC Reduction</x:v>
      </x:c>
      <x:c r="F1" s="46" t="str">
        <x:v>Effect %</x:v>
      </x:c>
      <x:c r="G1" s="46" t="str">
        <x:v>Duration %</x:v>
      </x:c>
      <x:c r="H1" s="46" t="str">
        <x:v>Area / Range %</x:v>
      </x:c>
      <x:c r="I1" s="46" t="str">
        <x:v>Extra Doses</x:v>
      </x:c>
      <x:c r="J1" s="46" t="str">
        <x:v>Save DC</x:v>
      </x:c>
      <x:c r="K1" s="46" t="str">
        <x:v>Die Step</x:v>
      </x:c>
      <x:c r="L1" s="46" t="str">
        <x:v>Type Direction</x:v>
      </x:c>
      <x:c r="M1" s="46" t="str">
        <x:v>Player-Facing Tags</x:v>
      </x:c>
      <x:c r="N1" s="27" t="str">
        <x:v>Physical Description</x:v>
      </x:c>
    </x:row>
    <x:row r="2">
      <x:c r="A2" s="38" t="str">
        <x:v>Core</x:v>
      </x:c>
      <x:c r="B2" s="51" t="str">
        <x:v>Mushroom</x:v>
      </x:c>
      <x:c r="C2" s="51" t="str">
        <x:v>Common</x:v>
      </x:c>
      <x:c r="D2" s="51" t="str">
        <x:v>Bramblecup Fungus</x:v>
      </x:c>
      <x:c r="E2" s="51" t="n">
        <x:v>0</x:v>
      </x:c>
      <x:c r="F2" s="51" t="n">
        <x:v>25</x:v>
      </x:c>
      <x:c r="G2" s="51" t="n">
        <x:v>0</x:v>
      </x:c>
      <x:c r="H2" s="51" t="n">
        <x:v>0</x:v>
      </x:c>
      <x:c r="I2" s="51" t="n">
        <x:v>0</x:v>
      </x:c>
      <x:c r="J2" s="51" t="n">
        <x:v>0</x:v>
      </x:c>
      <x:c r="K2" s="51" t="n">
        <x:v>0</x:v>
      </x:c>
      <x:c r="L2" s="51" t="str"/>
      <x:c r="M2" s="51" t="str"/>
      <x:c r="N2" s="39" t="str">
        <x:v>A russet cup fungus with thornlike ridges around its rim. Its flesh is chewy, its underside feels like suede, and it smells of crushed hazelnuts and damp hedgewood.</x:v>
      </x:c>
    </x:row>
    <x:row r="3">
      <x:c r="A3" s="38" t="str">
        <x:v>Core</x:v>
      </x:c>
      <x:c r="B3" s="51" t="str">
        <x:v>Mushroom</x:v>
      </x:c>
      <x:c r="C3" s="51" t="str">
        <x:v>Common</x:v>
      </x:c>
      <x:c r="D3" s="51" t="str">
        <x:v>Candlecap</x:v>
      </x:c>
      <x:c r="E3" s="51" t="n">
        <x:v>0</x:v>
      </x:c>
      <x:c r="F3" s="51" t="n">
        <x:v>25</x:v>
      </x:c>
      <x:c r="G3" s="51" t="n">
        <x:v>0</x:v>
      </x:c>
      <x:c r="H3" s="51" t="n">
        <x:v>0</x:v>
      </x:c>
      <x:c r="I3" s="51" t="n">
        <x:v>0</x:v>
      </x:c>
      <x:c r="J3" s="51" t="n">
        <x:v>0</x:v>
      </x:c>
      <x:c r="K3" s="51" t="n">
        <x:v>0</x:v>
      </x:c>
      <x:c r="L3" s="51" t="str"/>
      <x:c r="M3" s="51" t="str"/>
      <x:c r="N3" s="39" t="str">
        <x:v>A thumb-sized ivory cap with a waxy rim that catches light like a candle. It feels cool and slick, smells of beeswax and damp cedar, and squeaks faintly when cut.</x:v>
      </x:c>
    </x:row>
    <x:row r="4">
      <x:c r="A4" s="38" t="str">
        <x:v>Core</x:v>
      </x:c>
      <x:c r="B4" s="51" t="str">
        <x:v>Mushroom</x:v>
      </x:c>
      <x:c r="C4" s="51" t="str">
        <x:v>Common</x:v>
      </x:c>
      <x:c r="D4" s="51" t="str">
        <x:v>Dewbutton Cap</x:v>
      </x:c>
      <x:c r="E4" s="51" t="n">
        <x:v>0</x:v>
      </x:c>
      <x:c r="F4" s="51" t="n">
        <x:v>0</x:v>
      </x:c>
      <x:c r="G4" s="51" t="n">
        <x:v>25</x:v>
      </x:c>
      <x:c r="H4" s="51" t="n">
        <x:v>0</x:v>
      </x:c>
      <x:c r="I4" s="51" t="n">
        <x:v>0</x:v>
      </x:c>
      <x:c r="J4" s="51" t="n">
        <x:v>0</x:v>
      </x:c>
      <x:c r="K4" s="51" t="n">
        <x:v>0</x:v>
      </x:c>
      <x:c r="L4" s="51" t="str"/>
      <x:c r="M4" s="51" t="str"/>
      <x:c r="N4" s="39" t="str">
        <x:v>Tiny pearl-gray caps bead with cool water even in dry rooms. They smell of rain on slate and fresh bread yeast, and pop softly between the fingers.</x:v>
      </x:c>
    </x:row>
    <x:row r="5">
      <x:c r="A5" s="38" t="str">
        <x:v>Core</x:v>
      </x:c>
      <x:c r="B5" s="51" t="str">
        <x:v>Mushroom</x:v>
      </x:c>
      <x:c r="C5" s="51" t="str">
        <x:v>Common</x:v>
      </x:c>
      <x:c r="D5" s="51" t="str">
        <x:v>Hearthcap Mushroom</x:v>
      </x:c>
      <x:c r="E5" s="51" t="n">
        <x:v>0</x:v>
      </x:c>
      <x:c r="F5" s="51" t="n">
        <x:v>25</x:v>
      </x:c>
      <x:c r="G5" s="51" t="n">
        <x:v>0</x:v>
      </x:c>
      <x:c r="H5" s="51" t="n">
        <x:v>0</x:v>
      </x:c>
      <x:c r="I5" s="51" t="n">
        <x:v>0</x:v>
      </x:c>
      <x:c r="J5" s="51" t="n">
        <x:v>0</x:v>
      </x:c>
      <x:c r="K5" s="51" t="n">
        <x:v>0</x:v>
      </x:c>
      <x:c r="L5" s="51" t="str"/>
      <x:c r="M5" s="51" t="str"/>
      <x:c r="N5" s="39" t="str">
        <x:v>A squat brown cap with warm rust freckles and cream gills. It smells like hearth smoke over damp soil, and the stem feels spongy but firm.</x:v>
      </x:c>
    </x:row>
    <x:row r="6">
      <x:c r="A6" s="38" t="str">
        <x:v>Core</x:v>
      </x:c>
      <x:c r="B6" s="51" t="str">
        <x:v>Mushroom</x:v>
      </x:c>
      <x:c r="C6" s="51" t="str">
        <x:v>Common</x:v>
      </x:c>
      <x:c r="D6" s="51" t="str">
        <x:v>Mossbutton</x:v>
      </x:c>
      <x:c r="E6" s="51" t="n">
        <x:v>0</x:v>
      </x:c>
      <x:c r="F6" s="51" t="n">
        <x:v>0</x:v>
      </x:c>
      <x:c r="G6" s="51" t="n">
        <x:v>25</x:v>
      </x:c>
      <x:c r="H6" s="51" t="n">
        <x:v>0</x:v>
      </x:c>
      <x:c r="I6" s="51" t="n">
        <x:v>0</x:v>
      </x:c>
      <x:c r="J6" s="51" t="n">
        <x:v>0</x:v>
      </x:c>
      <x:c r="K6" s="51" t="n">
        <x:v>0</x:v>
      </x:c>
      <x:c r="L6" s="51" t="str"/>
      <x:c r="M6" s="51" t="str"/>
      <x:c r="N6" s="39" t="str">
        <x:v>A round olive cap cushioned in velvet fuzz. It compresses like wet felt, smells of mossy stone and nutmeg, and leaves green dust beneath the nails.</x:v>
      </x:c>
    </x:row>
    <x:row r="7">
      <x:c r="A7" s="38" t="str">
        <x:v>Core</x:v>
      </x:c>
      <x:c r="B7" s="51" t="str">
        <x:v>Mushroom</x:v>
      </x:c>
      <x:c r="C7" s="51" t="str">
        <x:v>Uncommon</x:v>
      </x:c>
      <x:c r="D7" s="51" t="str">
        <x:v>Cluster Puffball</x:v>
      </x:c>
      <x:c r="E7" s="51" t="n">
        <x:v>2</x:v>
      </x:c>
      <x:c r="F7" s="51" t="n">
        <x:v>25</x:v>
      </x:c>
      <x:c r="G7" s="51" t="n">
        <x:v>0</x:v>
      </x:c>
      <x:c r="H7" s="51" t="n">
        <x:v>0</x:v>
      </x:c>
      <x:c r="I7" s="51" t="n">
        <x:v>1</x:v>
      </x:c>
      <x:c r="J7" s="51" t="n">
        <x:v>0</x:v>
      </x:c>
      <x:c r="K7" s="51" t="n">
        <x:v>0</x:v>
      </x:c>
      <x:c r="L7" s="51" t="str"/>
      <x:c r="M7" s="51" t="str"/>
      <x:c r="N7" s="39" t="str">
        <x:v>A knot of soft round puffballs that sighs out chalky spores when tapped. The dust smells dry, nutty, and faintly medicinal.</x:v>
      </x:c>
    </x:row>
    <x:row r="8">
      <x:c r="A8" s="38" t="str">
        <x:v>Core</x:v>
      </x:c>
      <x:c r="B8" s="51" t="str">
        <x:v>Mushroom</x:v>
      </x:c>
      <x:c r="C8" s="51" t="str">
        <x:v>Uncommon</x:v>
      </x:c>
      <x:c r="D8" s="51" t="str">
        <x:v>Embergill Mushroom</x:v>
      </x:c>
      <x:c r="E8" s="51" t="n">
        <x:v>2</x:v>
      </x:c>
      <x:c r="F8" s="51" t="n">
        <x:v>25</x:v>
      </x:c>
      <x:c r="G8" s="51" t="n">
        <x:v>50</x:v>
      </x:c>
      <x:c r="H8" s="51" t="n">
        <x:v>0</x:v>
      </x:c>
      <x:c r="I8" s="51" t="n">
        <x:v>0</x:v>
      </x:c>
      <x:c r="J8" s="51" t="n">
        <x:v>0</x:v>
      </x:c>
      <x:c r="K8" s="51" t="n">
        <x:v>0</x:v>
      </x:c>
      <x:c r="L8" s="51" t="str"/>
      <x:c r="M8" s="51" t="str">
        <x:v>Fire</x:v>
      </x:c>
      <x:c r="N8" s="39" t="str">
        <x:v>A russet mushroom with orange gills that glow like banked coals. Its stem is warm and fibrous, and it smells of toasted grain, pepper, and wet bark.</x:v>
      </x:c>
    </x:row>
    <x:row r="9">
      <x:c r="A9" s="38" t="str">
        <x:v>Core</x:v>
      </x:c>
      <x:c r="B9" s="51" t="str">
        <x:v>Mushroom</x:v>
      </x:c>
      <x:c r="C9" s="51" t="str">
        <x:v>Uncommon</x:v>
      </x:c>
      <x:c r="D9" s="51" t="str">
        <x:v>Ghostcap Mushroom</x:v>
      </x:c>
      <x:c r="E9" s="51" t="n">
        <x:v>2</x:v>
      </x:c>
      <x:c r="F9" s="51" t="n">
        <x:v>50</x:v>
      </x:c>
      <x:c r="G9" s="51" t="n">
        <x:v>25</x:v>
      </x:c>
      <x:c r="H9" s="51" t="n">
        <x:v>0</x:v>
      </x:c>
      <x:c r="I9" s="51" t="n">
        <x:v>0</x:v>
      </x:c>
      <x:c r="J9" s="51" t="n">
        <x:v>0</x:v>
      </x:c>
      <x:c r="K9" s="51" t="n">
        <x:v>0</x:v>
      </x:c>
      <x:c r="L9" s="51" t="str"/>
      <x:c r="M9" s="51" t="str"/>
      <x:c r="N9" s="39" t="str">
        <x:v>A translucent white cap with a smoky blue center and thread-fine gills. It is cold to the touch and carries a faint scent of cellar stone, mint, and wet linen.</x:v>
      </x:c>
    </x:row>
    <x:row r="10">
      <x:c r="A10" s="38" t="str">
        <x:v>Core</x:v>
      </x:c>
      <x:c r="B10" s="51" t="str">
        <x:v>Mushroom</x:v>
      </x:c>
      <x:c r="C10" s="51" t="str">
        <x:v>Uncommon</x:v>
      </x:c>
      <x:c r="D10" s="51" t="str">
        <x:v>Moonmilk Fungus</x:v>
      </x:c>
      <x:c r="E10" s="51" t="n">
        <x:v>2</x:v>
      </x:c>
      <x:c r="F10" s="51" t="n">
        <x:v>75</x:v>
      </x:c>
      <x:c r="G10" s="51" t="n">
        <x:v>0</x:v>
      </x:c>
      <x:c r="H10" s="51" t="n">
        <x:v>0</x:v>
      </x:c>
      <x:c r="I10" s="51" t="n">
        <x:v>0</x:v>
      </x:c>
      <x:c r="J10" s="51" t="n">
        <x:v>0</x:v>
      </x:c>
      <x:c r="K10" s="51" t="n">
        <x:v>0</x:v>
      </x:c>
      <x:c r="L10" s="51" t="str"/>
      <x:c r="M10" s="51" t="str"/>
      <x:c r="N10" s="39" t="str">
        <x:v>A pale blue-white fungus with milky beads forming along the gills. It smells cool and sweet, like rainwater in a stone bowl.</x:v>
      </x:c>
    </x:row>
    <x:row r="11">
      <x:c r="A11" s="38" t="str">
        <x:v>Core</x:v>
      </x:c>
      <x:c r="B11" s="51" t="str">
        <x:v>Mushroom</x:v>
      </x:c>
      <x:c r="C11" s="51" t="str">
        <x:v>Uncommon</x:v>
      </x:c>
      <x:c r="D11" s="51" t="str">
        <x:v>Silverbell Fungus</x:v>
      </x:c>
      <x:c r="E11" s="51" t="n">
        <x:v>2</x:v>
      </x:c>
      <x:c r="F11" s="51" t="n">
        <x:v>25</x:v>
      </x:c>
      <x:c r="G11" s="51" t="n">
        <x:v>0</x:v>
      </x:c>
      <x:c r="H11" s="51" t="n">
        <x:v>0</x:v>
      </x:c>
      <x:c r="I11" s="51" t="n">
        <x:v>0</x:v>
      </x:c>
      <x:c r="J11" s="51" t="n">
        <x:v>1</x:v>
      </x:c>
      <x:c r="K11" s="51" t="n">
        <x:v>0</x:v>
      </x:c>
      <x:c r="L11" s="51" t="str"/>
      <x:c r="M11" s="51" t="str"/>
      <x:c r="N11" s="39" t="str">
        <x:v>A cluster of silver bell-shaped caps with glassy edges. They chime softly when shaken and smell of cold rain, mushrooms, and crushed mint.</x:v>
      </x:c>
    </x:row>
    <x:row r="12">
      <x:c r="A12" s="38" t="str">
        <x:v>Core</x:v>
      </x:c>
      <x:c r="B12" s="51" t="str">
        <x:v>Mushroom</x:v>
      </x:c>
      <x:c r="C12" s="51" t="str">
        <x:v>Rare</x:v>
      </x:c>
      <x:c r="D12" s="51" t="str">
        <x:v>Cloudcap Spore</x:v>
      </x:c>
      <x:c r="E12" s="51" t="n">
        <x:v>4</x:v>
      </x:c>
      <x:c r="F12" s="51" t="n">
        <x:v>75</x:v>
      </x:c>
      <x:c r="G12" s="51" t="n">
        <x:v>25</x:v>
      </x:c>
      <x:c r="H12" s="51" t="n">
        <x:v>0</x:v>
      </x:c>
      <x:c r="I12" s="51" t="n">
        <x:v>0</x:v>
      </x:c>
      <x:c r="J12" s="51" t="n">
        <x:v>0</x:v>
      </x:c>
      <x:c r="K12" s="51" t="n">
        <x:v>0</x:v>
      </x:c>
      <x:c r="L12" s="51" t="str"/>
      <x:c r="M12" s="51" t="str"/>
      <x:c r="N12" s="39" t="str">
        <x:v>A broad pale mushroom dusted with silver spores that drift upward instead of falling. It feels light as cork and smells of cool fog, bitter tea, and pine bark.</x:v>
      </x:c>
    </x:row>
    <x:row r="13">
      <x:c r="A13" s="38" t="str">
        <x:v>Core</x:v>
      </x:c>
      <x:c r="B13" s="51" t="str">
        <x:v>Mushroom</x:v>
      </x:c>
      <x:c r="C13" s="51" t="str">
        <x:v>Rare</x:v>
      </x:c>
      <x:c r="D13" s="51" t="str">
        <x:v>Dreamspore Morel</x:v>
      </x:c>
      <x:c r="E13" s="51" t="n">
        <x:v>4</x:v>
      </x:c>
      <x:c r="F13" s="51" t="n">
        <x:v>0</x:v>
      </x:c>
      <x:c r="G13" s="51" t="n">
        <x:v>0</x:v>
      </x:c>
      <x:c r="H13" s="51" t="n">
        <x:v>0</x:v>
      </x:c>
      <x:c r="I13" s="51" t="n">
        <x:v>0</x:v>
      </x:c>
      <x:c r="J13" s="51" t="n">
        <x:v>0</x:v>
      </x:c>
      <x:c r="K13" s="51" t="n">
        <x:v>1</x:v>
      </x:c>
      <x:c r="L13" s="51" t="str"/>
      <x:c r="M13" s="51" t="str">
        <x:v>Confusion, Psychic, Mind</x:v>
      </x:c>
      <x:c r="N13" s="39" t="str">
        <x:v>A tall indigo morel whose honeycomb pits hold drifting violet spores. It feels dry as paper and smells of lavender smoke, dark soil, and old books.</x:v>
      </x:c>
    </x:row>
    <x:row r="14">
      <x:c r="A14" s="38" t="str">
        <x:v>Core</x:v>
      </x:c>
      <x:c r="B14" s="51" t="str">
        <x:v>Mushroom</x:v>
      </x:c>
      <x:c r="C14" s="51" t="str">
        <x:v>Rare</x:v>
      </x:c>
      <x:c r="D14" s="51" t="str">
        <x:v>King's Redcap</x:v>
      </x:c>
      <x:c r="E14" s="51" t="n">
        <x:v>4</x:v>
      </x:c>
      <x:c r="F14" s="51" t="n">
        <x:v>100</x:v>
      </x:c>
      <x:c r="G14" s="51" t="n">
        <x:v>0</x:v>
      </x:c>
      <x:c r="H14" s="51" t="n">
        <x:v>0</x:v>
      </x:c>
      <x:c r="I14" s="51" t="n">
        <x:v>0</x:v>
      </x:c>
      <x:c r="J14" s="51" t="n">
        <x:v>0</x:v>
      </x:c>
      <x:c r="K14" s="51" t="n">
        <x:v>0</x:v>
      </x:c>
      <x:c r="L14" s="51" t="str"/>
      <x:c r="M14" s="51" t="str"/>
      <x:c r="N14" s="39" t="str">
        <x:v>A crimson-capped fungus with black speckles and thick ivory flesh. When sliced, it stains the blade red and smells of bitter loam and iron-rich rain.</x:v>
      </x:c>
    </x:row>
    <x:row r="15">
      <x:c r="A15" s="38" t="str">
        <x:v>Core</x:v>
      </x:c>
      <x:c r="B15" s="51" t="str">
        <x:v>Mushroom</x:v>
      </x:c>
      <x:c r="C15" s="51" t="str">
        <x:v>Rare</x:v>
      </x:c>
      <x:c r="D15" s="51" t="str">
        <x:v>Twin-Bloom Mycelium</x:v>
      </x:c>
      <x:c r="E15" s="51" t="n">
        <x:v>4</x:v>
      </x:c>
      <x:c r="F15" s="51" t="n">
        <x:v>50</x:v>
      </x:c>
      <x:c r="G15" s="51" t="n">
        <x:v>0</x:v>
      </x:c>
      <x:c r="H15" s="51" t="n">
        <x:v>0</x:v>
      </x:c>
      <x:c r="I15" s="51" t="n">
        <x:v>1</x:v>
      </x:c>
      <x:c r="J15" s="51" t="n">
        <x:v>0</x:v>
      </x:c>
      <x:c r="K15" s="51" t="n">
        <x:v>0</x:v>
      </x:c>
      <x:c r="L15" s="51" t="str"/>
      <x:c r="M15" s="51" t="str"/>
      <x:c r="N15" s="39" t="str">
        <x:v>Two small caps grow from the same silver-white thread mass. The paired blooms smell earthy and sweet, and their spores cling like flour.</x:v>
      </x:c>
    </x:row>
    <x:row r="16">
      <x:c r="A16" s="38" t="str">
        <x:v>Core</x:v>
      </x:c>
      <x:c r="B16" s="51" t="str">
        <x:v>Mushroom</x:v>
      </x:c>
      <x:c r="C16" s="51" t="str">
        <x:v>Very Rare</x:v>
      </x:c>
      <x:c r="D16" s="51" t="str">
        <x:v>Crowncap Polypore</x:v>
      </x:c>
      <x:c r="E16" s="51" t="n">
        <x:v>6</x:v>
      </x:c>
      <x:c r="F16" s="51" t="n">
        <x:v>125</x:v>
      </x:c>
      <x:c r="G16" s="51" t="n">
        <x:v>0</x:v>
      </x:c>
      <x:c r="H16" s="51" t="n">
        <x:v>0</x:v>
      </x:c>
      <x:c r="I16" s="51" t="n">
        <x:v>0</x:v>
      </x:c>
      <x:c r="J16" s="51" t="n">
        <x:v>0</x:v>
      </x:c>
      <x:c r="K16" s="51" t="n">
        <x:v>0</x:v>
      </x:c>
      <x:c r="L16" s="51" t="str"/>
      <x:c r="M16" s="51" t="str"/>
      <x:c r="N16" s="39" t="str">
        <x:v>A shelf-like golden fungus with red lacquered bands. Its underside is dry and powdery, with a warm smell of toasted grain, cedar resin, and rich cellar earth.</x:v>
      </x:c>
    </x:row>
    <x:row r="17">
      <x:c r="A17" s="38" t="str">
        <x:v>Core</x:v>
      </x:c>
      <x:c r="B17" s="51" t="str">
        <x:v>Mushroom</x:v>
      </x:c>
      <x:c r="C17" s="51" t="str">
        <x:v>Very Rare</x:v>
      </x:c>
      <x:c r="D17" s="51" t="str">
        <x:v>Oracle's Crown</x:v>
      </x:c>
      <x:c r="E17" s="51" t="n">
        <x:v>6</x:v>
      </x:c>
      <x:c r="F17" s="51" t="n">
        <x:v>75</x:v>
      </x:c>
      <x:c r="G17" s="51" t="n">
        <x:v>0</x:v>
      </x:c>
      <x:c r="H17" s="51" t="n">
        <x:v>0</x:v>
      </x:c>
      <x:c r="I17" s="51" t="n">
        <x:v>2</x:v>
      </x:c>
      <x:c r="J17" s="51" t="n">
        <x:v>0</x:v>
      </x:c>
      <x:c r="K17" s="51" t="n">
        <x:v>0</x:v>
      </x:c>
      <x:c r="L17" s="51" t="str"/>
      <x:c r="M17" s="51" t="str"/>
      <x:c r="N17" s="39" t="str">
        <x:v>A crown of translucent blue caps joined by luminous white mycelium. The gills pulse when touched, tasting faintly of salt and honey while smelling of ozone before rain.</x:v>
      </x:c>
    </x:row>
    <x:row r="18">
      <x:c r="A18" s="38" t="str">
        <x:v>Core</x:v>
      </x:c>
      <x:c r="B18" s="51" t="str">
        <x:v>Mushroom</x:v>
      </x:c>
      <x:c r="C18" s="51" t="str">
        <x:v>Very Rare</x:v>
      </x:c>
      <x:c r="D18" s="51" t="str">
        <x:v>Phoenix Truffle</x:v>
      </x:c>
      <x:c r="E18" s="51" t="n">
        <x:v>6</x:v>
      </x:c>
      <x:c r="F18" s="51" t="n">
        <x:v>75</x:v>
      </x:c>
      <x:c r="G18" s="51" t="n">
        <x:v>50</x:v>
      </x:c>
      <x:c r="H18" s="51" t="n">
        <x:v>0</x:v>
      </x:c>
      <x:c r="I18" s="51" t="n">
        <x:v>0</x:v>
      </x:c>
      <x:c r="J18" s="51" t="n">
        <x:v>0</x:v>
      </x:c>
      <x:c r="K18" s="51" t="n">
        <x:v>0</x:v>
      </x:c>
      <x:c r="L18" s="51" t="str"/>
      <x:c r="M18" s="51" t="str"/>
      <x:c r="N18" s="39" t="str">
        <x:v>A coal-black truffle veined with ember orange. It is warm to the touch and smells of scorched cedar, rich soil, and hot spice.</x:v>
      </x:c>
    </x:row>
    <x:row r="19">
      <x:c r="A19" s="38" t="str">
        <x:v>Core</x:v>
      </x:c>
      <x:c r="B19" s="51" t="str">
        <x:v>Mushroom</x:v>
      </x:c>
      <x:c r="C19" s="51" t="str">
        <x:v>Very Rare</x:v>
      </x:c>
      <x:c r="D19" s="51" t="str">
        <x:v>Saint's Veil Cap</x:v>
      </x:c>
      <x:c r="E19" s="51" t="n">
        <x:v>6</x:v>
      </x:c>
      <x:c r="F19" s="51" t="n">
        <x:v>25</x:v>
      </x:c>
      <x:c r="G19" s="51" t="n">
        <x:v>0</x:v>
      </x:c>
      <x:c r="H19" s="51" t="n">
        <x:v>0</x:v>
      </x:c>
      <x:c r="I19" s="51" t="n">
        <x:v>0</x:v>
      </x:c>
      <x:c r="J19" s="51" t="n">
        <x:v>0</x:v>
      </x:c>
      <x:c r="K19" s="51" t="n">
        <x:v>1</x:v>
      </x:c>
      <x:c r="L19" s="51" t="str"/>
      <x:c r="M19" s="51" t="str"/>
      <x:c r="N19" s="39" t="str">
        <x:v>A thin white cap draped like lace over luminous gills. It gives off a clean, chapel-wax scent and leaves a soft gold dust on the fingers.</x:v>
      </x:c>
    </x:row>
    <x:row r="20">
      <x:c r="A20" s="38" t="str">
        <x:v>Core</x:v>
      </x:c>
      <x:c r="B20" s="51" t="str">
        <x:v>Root</x:v>
      </x:c>
      <x:c r="C20" s="51" t="str">
        <x:v>Common</x:v>
      </x:c>
      <x:c r="D20" s="51" t="str">
        <x:v>Bittercoil Root</x:v>
      </x:c>
      <x:c r="E20" s="51" t="n">
        <x:v>0</x:v>
      </x:c>
      <x:c r="F20" s="51" t="n">
        <x:v>0</x:v>
      </x:c>
      <x:c r="G20" s="51" t="n">
        <x:v>25</x:v>
      </x:c>
      <x:c r="H20" s="51" t="n">
        <x:v>0</x:v>
      </x:c>
      <x:c r="I20" s="51" t="n">
        <x:v>0</x:v>
      </x:c>
      <x:c r="J20" s="51" t="n">
        <x:v>0</x:v>
      </x:c>
      <x:c r="K20" s="51" t="n">
        <x:v>0</x:v>
      </x:c>
      <x:c r="L20" s="51" t="str"/>
      <x:c r="M20" s="51" t="str"/>
      <x:c r="N20" s="39" t="str">
        <x:v>A tightly spiraled black-brown root with a waxy skin. Its cut surface is yellow and intensely bitter, smelling of coffee grounds, bark, and sharp medicinal oil.</x:v>
      </x:c>
    </x:row>
    <x:row r="21">
      <x:c r="A21" s="38" t="str">
        <x:v>Core</x:v>
      </x:c>
      <x:c r="B21" s="51" t="str">
        <x:v>Root</x:v>
      </x:c>
      <x:c r="C21" s="51" t="str">
        <x:v>Common</x:v>
      </x:c>
      <x:c r="D21" s="51" t="str">
        <x:v>Clayfinger Root</x:v>
      </x:c>
      <x:c r="E21" s="51" t="n">
        <x:v>0</x:v>
      </x:c>
      <x:c r="F21" s="51" t="n">
        <x:v>25</x:v>
      </x:c>
      <x:c r="G21" s="51" t="n">
        <x:v>0</x:v>
      </x:c>
      <x:c r="H21" s="51" t="n">
        <x:v>0</x:v>
      </x:c>
      <x:c r="I21" s="51" t="n">
        <x:v>0</x:v>
      </x:c>
      <x:c r="J21" s="51" t="n">
        <x:v>0</x:v>
      </x:c>
      <x:c r="K21" s="51" t="n">
        <x:v>0</x:v>
      </x:c>
      <x:c r="L21" s="51" t="str"/>
      <x:c r="M21" s="51" t="str"/>
      <x:c r="N21" s="39" t="str">
        <x:v>A bundle of finger-thin tan roots packed with red clay. They snap crisply, stain the hands orange, and smell of pottery earth and raw turnip.</x:v>
      </x:c>
    </x:row>
    <x:row r="22">
      <x:c r="A22" s="38" t="str">
        <x:v>Core</x:v>
      </x:c>
      <x:c r="B22" s="51" t="str">
        <x:v>Root</x:v>
      </x:c>
      <x:c r="C22" s="51" t="str">
        <x:v>Common</x:v>
      </x:c>
      <x:c r="D22" s="51" t="str">
        <x:v>Fieldroot</x:v>
      </x:c>
      <x:c r="E22" s="51" t="n">
        <x:v>0</x:v>
      </x:c>
      <x:c r="F22" s="51" t="n">
        <x:v>0</x:v>
      </x:c>
      <x:c r="G22" s="51" t="n">
        <x:v>25</x:v>
      </x:c>
      <x:c r="H22" s="51" t="n">
        <x:v>0</x:v>
      </x:c>
      <x:c r="I22" s="51" t="n">
        <x:v>0</x:v>
      </x:c>
      <x:c r="J22" s="51" t="n">
        <x:v>0</x:v>
      </x:c>
      <x:c r="K22" s="51" t="n">
        <x:v>0</x:v>
      </x:c>
      <x:c r="L22" s="51" t="str"/>
      <x:c r="M22" s="51" t="str"/>
      <x:c r="N22" s="39" t="str">
        <x:v>A plain tan root with hairlike fibers and a crisp snap. It smells of fresh-dug earth and leaves a bitter, grassy taste.</x:v>
      </x:c>
    </x:row>
    <x:row r="23">
      <x:c r="A23" s="38" t="str">
        <x:v>Core</x:v>
      </x:c>
      <x:c r="B23" s="51" t="str">
        <x:v>Root</x:v>
      </x:c>
      <x:c r="C23" s="51" t="str">
        <x:v>Common</x:v>
      </x:c>
      <x:c r="D23" s="51" t="str">
        <x:v>Marshknuckle Root</x:v>
      </x:c>
      <x:c r="E23" s="51" t="n">
        <x:v>0</x:v>
      </x:c>
      <x:c r="F23" s="51" t="n">
        <x:v>25</x:v>
      </x:c>
      <x:c r="G23" s="51" t="n">
        <x:v>0</x:v>
      </x:c>
      <x:c r="H23" s="51" t="n">
        <x:v>0</x:v>
      </x:c>
      <x:c r="I23" s="51" t="n">
        <x:v>0</x:v>
      </x:c>
      <x:c r="J23" s="51" t="n">
        <x:v>0</x:v>
      </x:c>
      <x:c r="K23" s="51" t="n">
        <x:v>0</x:v>
      </x:c>
      <x:c r="L23" s="51" t="str"/>
      <x:c r="M23" s="51" t="str"/>
      <x:c r="N23" s="39" t="str">
        <x:v>A bulbous green-brown root with jointed ridges and spongy flesh. It smells of brackish water, celery, and peat, leaving a cool slickness on the fingers.</x:v>
      </x:c>
    </x:row>
    <x:row r="24">
      <x:c r="A24" s="38" t="str">
        <x:v>Core</x:v>
      </x:c>
      <x:c r="B24" s="51" t="str">
        <x:v>Root</x:v>
      </x:c>
      <x:c r="C24" s="51" t="str">
        <x:v>Common</x:v>
      </x:c>
      <x:c r="D24" s="51" t="str">
        <x:v>Turnstone Root</x:v>
      </x:c>
      <x:c r="E24" s="51" t="n">
        <x:v>0</x:v>
      </x:c>
      <x:c r="F24" s="51" t="n">
        <x:v>0</x:v>
      </x:c>
      <x:c r="G24" s="51" t="n">
        <x:v>25</x:v>
      </x:c>
      <x:c r="H24" s="51" t="n">
        <x:v>0</x:v>
      </x:c>
      <x:c r="I24" s="51" t="n">
        <x:v>0</x:v>
      </x:c>
      <x:c r="J24" s="51" t="n">
        <x:v>0</x:v>
      </x:c>
      <x:c r="K24" s="51" t="n">
        <x:v>0</x:v>
      </x:c>
      <x:c r="L24" s="51" t="str"/>
      <x:c r="M24" s="51" t="str"/>
      <x:c r="N24" s="39" t="str">
        <x:v>A squat gray root knotted around tiny pebbles. It feels heavy for its size, smells of wet clay and turnip greens, and clicks softly when shaken.</x:v>
      </x:c>
    </x:row>
    <x:row r="25">
      <x:c r="A25" s="38" t="str">
        <x:v>Core</x:v>
      </x:c>
      <x:c r="B25" s="51" t="str">
        <x:v>Root</x:v>
      </x:c>
      <x:c r="C25" s="51" t="str">
        <x:v>Uncommon</x:v>
      </x:c>
      <x:c r="D25" s="51" t="str">
        <x:v>Ambervein Root</x:v>
      </x:c>
      <x:c r="E25" s="51" t="n">
        <x:v>2</x:v>
      </x:c>
      <x:c r="F25" s="51" t="n">
        <x:v>50</x:v>
      </x:c>
      <x:c r="G25" s="51" t="n">
        <x:v>25</x:v>
      </x:c>
      <x:c r="H25" s="51" t="n">
        <x:v>0</x:v>
      </x:c>
      <x:c r="I25" s="51" t="n">
        <x:v>0</x:v>
      </x:c>
      <x:c r="J25" s="51" t="n">
        <x:v>0</x:v>
      </x:c>
      <x:c r="K25" s="51" t="n">
        <x:v>0</x:v>
      </x:c>
      <x:c r="L25" s="51" t="str"/>
      <x:c r="M25" s="51" t="str"/>
      <x:c r="N25" s="39" t="str">
        <x:v>A honey-colored root threaded with translucent amber sap. It snaps cleanly, smells of warm resin and sweet earth, and leaves the tongue slightly numb.</x:v>
      </x:c>
    </x:row>
    <x:row r="26">
      <x:c r="A26" s="38" t="str">
        <x:v>Core</x:v>
      </x:c>
      <x:c r="B26" s="51" t="str">
        <x:v>Root</x:v>
      </x:c>
      <x:c r="C26" s="51" t="str">
        <x:v>Uncommon</x:v>
      </x:c>
      <x:c r="D26" s="51" t="str">
        <x:v>Frostcoil Root</x:v>
      </x:c>
      <x:c r="E26" s="51" t="n">
        <x:v>2</x:v>
      </x:c>
      <x:c r="F26" s="51" t="n">
        <x:v>25</x:v>
      </x:c>
      <x:c r="G26" s="51" t="n">
        <x:v>50</x:v>
      </x:c>
      <x:c r="H26" s="51" t="n">
        <x:v>0</x:v>
      </x:c>
      <x:c r="I26" s="51" t="n">
        <x:v>0</x:v>
      </x:c>
      <x:c r="J26" s="51" t="n">
        <x:v>0</x:v>
      </x:c>
      <x:c r="K26" s="51" t="n">
        <x:v>0</x:v>
      </x:c>
      <x:c r="L26" s="51" t="str"/>
      <x:c r="M26" s="51" t="str">
        <x:v>Cold</x:v>
      </x:c>
      <x:c r="N26" s="39" t="str">
        <x:v>A pale root curled into a tight spiral beneath a skin of crystalline frost. It is painfully cold and smells of wintergreen, iron, and fresh snow.</x:v>
      </x:c>
    </x:row>
    <x:row r="27">
      <x:c r="A27" s="38" t="str">
        <x:v>Core</x:v>
      </x:c>
      <x:c r="B27" s="51" t="str">
        <x:v>Root</x:v>
      </x:c>
      <x:c r="C27" s="51" t="str">
        <x:v>Uncommon</x:v>
      </x:c>
      <x:c r="D27" s="51" t="str">
        <x:v>Ironroot</x:v>
      </x:c>
      <x:c r="E27" s="51" t="n">
        <x:v>2</x:v>
      </x:c>
      <x:c r="F27" s="51" t="n">
        <x:v>0</x:v>
      </x:c>
      <x:c r="G27" s="51" t="n">
        <x:v>75</x:v>
      </x:c>
      <x:c r="H27" s="51" t="n">
        <x:v>0</x:v>
      </x:c>
      <x:c r="I27" s="51" t="n">
        <x:v>0</x:v>
      </x:c>
      <x:c r="J27" s="51" t="n">
        <x:v>0</x:v>
      </x:c>
      <x:c r="K27" s="51" t="n">
        <x:v>0</x:v>
      </x:c>
      <x:c r="L27" s="51" t="str"/>
      <x:c r="M27" s="51" t="str"/>
      <x:c r="N27" s="39" t="str">
        <x:v>A dense gray-brown root with dark metallic streaks under the bark. It feels heavy for its size and smells of wet clay and iron.</x:v>
      </x:c>
    </x:row>
    <x:row r="28">
      <x:c r="A28" s="38" t="str">
        <x:v>Core</x:v>
      </x:c>
      <x:c r="B28" s="51" t="str">
        <x:v>Root</x:v>
      </x:c>
      <x:c r="C28" s="51" t="str">
        <x:v>Uncommon</x:v>
      </x:c>
      <x:c r="D28" s="51" t="str">
        <x:v>Knotted Tuber</x:v>
      </x:c>
      <x:c r="E28" s="51" t="n">
        <x:v>2</x:v>
      </x:c>
      <x:c r="F28" s="51" t="n">
        <x:v>0</x:v>
      </x:c>
      <x:c r="G28" s="51" t="n">
        <x:v>25</x:v>
      </x:c>
      <x:c r="H28" s="51" t="n">
        <x:v>0</x:v>
      </x:c>
      <x:c r="I28" s="51" t="n">
        <x:v>1</x:v>
      </x:c>
      <x:c r="J28" s="51" t="n">
        <x:v>0</x:v>
      </x:c>
      <x:c r="K28" s="51" t="n">
        <x:v>0</x:v>
      </x:c>
      <x:c r="L28" s="51" t="str"/>
      <x:c r="M28" s="51" t="str"/>
      <x:c r="N28" s="39" t="str">
        <x:v>Several smooth cream tubers grow fused around one central knot. They are heavy with clear sap and smell of potato skin, sweet grass, and clean loam.</x:v>
      </x:c>
    </x:row>
    <x:row r="29">
      <x:c r="A29" s="38" t="str">
        <x:v>Core</x:v>
      </x:c>
      <x:c r="B29" s="51" t="str">
        <x:v>Root</x:v>
      </x:c>
      <x:c r="C29" s="51" t="str">
        <x:v>Uncommon</x:v>
      </x:c>
      <x:c r="D29" s="51" t="str">
        <x:v>Red Hearthroot</x:v>
      </x:c>
      <x:c r="E29" s="51" t="n">
        <x:v>2</x:v>
      </x:c>
      <x:c r="F29" s="51" t="n">
        <x:v>25</x:v>
      </x:c>
      <x:c r="G29" s="51" t="n">
        <x:v>50</x:v>
      </x:c>
      <x:c r="H29" s="51" t="n">
        <x:v>0</x:v>
      </x:c>
      <x:c r="I29" s="51" t="n">
        <x:v>0</x:v>
      </x:c>
      <x:c r="J29" s="51" t="n">
        <x:v>0</x:v>
      </x:c>
      <x:c r="K29" s="51" t="n">
        <x:v>0</x:v>
      </x:c>
      <x:c r="L29" s="51" t="str"/>
      <x:c r="M29" s="51" t="str"/>
      <x:c r="N29" s="39" t="str">
        <x:v>A red-veined root that warms slightly in the palm. When shaved, it smells of cinnamon bark, damp soil, and smoke from a banked fire.</x:v>
      </x:c>
    </x:row>
    <x:row r="30">
      <x:c r="A30" s="38" t="str">
        <x:v>Core</x:v>
      </x:c>
      <x:c r="B30" s="51" t="str">
        <x:v>Root</x:v>
      </x:c>
      <x:c r="C30" s="51" t="str">
        <x:v>Rare</x:v>
      </x:c>
      <x:c r="D30" s="51" t="str">
        <x:v>Bloodsap Root</x:v>
      </x:c>
      <x:c r="E30" s="51" t="n">
        <x:v>4</x:v>
      </x:c>
      <x:c r="F30" s="51" t="n">
        <x:v>50</x:v>
      </x:c>
      <x:c r="G30" s="51" t="n">
        <x:v>50</x:v>
      </x:c>
      <x:c r="H30" s="51" t="n">
        <x:v>0</x:v>
      </x:c>
      <x:c r="I30" s="51" t="n">
        <x:v>0</x:v>
      </x:c>
      <x:c r="J30" s="51" t="n">
        <x:v>0</x:v>
      </x:c>
      <x:c r="K30" s="51" t="n">
        <x:v>0</x:v>
      </x:c>
      <x:c r="L30" s="51" t="str"/>
      <x:c r="M30" s="51" t="str"/>
      <x:c r="N30" s="39" t="str">
        <x:v>A dark red root that beads warm crimson sap when sliced. Its fibers are dense and elastic, and it smells of iron, cedar, and bruised herbs.</x:v>
      </x:c>
    </x:row>
    <x:row r="31">
      <x:c r="A31" s="38" t="str">
        <x:v>Core</x:v>
      </x:c>
      <x:c r="B31" s="51" t="str">
        <x:v>Root</x:v>
      </x:c>
      <x:c r="C31" s="51" t="str">
        <x:v>Rare</x:v>
      </x:c>
      <x:c r="D31" s="51" t="str">
        <x:v>Giantroot</x:v>
      </x:c>
      <x:c r="E31" s="51" t="n">
        <x:v>4</x:v>
      </x:c>
      <x:c r="F31" s="51" t="n">
        <x:v>0</x:v>
      </x:c>
      <x:c r="G31" s="51" t="n">
        <x:v>100</x:v>
      </x:c>
      <x:c r="H31" s="51" t="n">
        <x:v>0</x:v>
      </x:c>
      <x:c r="I31" s="51" t="n">
        <x:v>0</x:v>
      </x:c>
      <x:c r="J31" s="51" t="n">
        <x:v>0</x:v>
      </x:c>
      <x:c r="K31" s="51" t="n">
        <x:v>0</x:v>
      </x:c>
      <x:c r="L31" s="51" t="str"/>
      <x:c r="M31" s="51" t="str"/>
      <x:c r="N31" s="39" t="str">
        <x:v>A thick corded root with broad growth rings and rough outer bark. It smells old, woody, and mineral, like roots pulled from a cliffside.</x:v>
      </x:c>
    </x:row>
    <x:row r="32">
      <x:c r="A32" s="38" t="str">
        <x:v>Core</x:v>
      </x:c>
      <x:c r="B32" s="51" t="str">
        <x:v>Root</x:v>
      </x:c>
      <x:c r="C32" s="51" t="str">
        <x:v>Rare</x:v>
      </x:c>
      <x:c r="D32" s="51" t="str">
        <x:v>Heartroot Cluster</x:v>
      </x:c>
      <x:c r="E32" s="51" t="n">
        <x:v>4</x:v>
      </x:c>
      <x:c r="F32" s="51" t="n">
        <x:v>0</x:v>
      </x:c>
      <x:c r="G32" s="51" t="n">
        <x:v>50</x:v>
      </x:c>
      <x:c r="H32" s="51" t="n">
        <x:v>0</x:v>
      </x:c>
      <x:c r="I32" s="51" t="n">
        <x:v>1</x:v>
      </x:c>
      <x:c r="J32" s="51" t="n">
        <x:v>0</x:v>
      </x:c>
      <x:c r="K32" s="51" t="n">
        <x:v>0</x:v>
      </x:c>
      <x:c r="L32" s="51" t="str"/>
      <x:c r="M32" s="51" t="str"/>
      <x:c r="N32" s="39" t="str">
        <x:v>Several small roots twist around a red central nub. Cut pieces bead with amber sap and smell of loam, herbs, and warm blood.</x:v>
      </x:c>
    </x:row>
    <x:row r="33">
      <x:c r="A33" s="38" t="str">
        <x:v>Core</x:v>
      </x:c>
      <x:c r="B33" s="51" t="str">
        <x:v>Root</x:v>
      </x:c>
      <x:c r="C33" s="51" t="str">
        <x:v>Rare</x:v>
      </x:c>
      <x:c r="D33" s="51" t="str">
        <x:v>Oathroot</x:v>
      </x:c>
      <x:c r="E33" s="51" t="n">
        <x:v>4</x:v>
      </x:c>
      <x:c r="F33" s="51" t="n">
        <x:v>0</x:v>
      </x:c>
      <x:c r="G33" s="51" t="n">
        <x:v>0</x:v>
      </x:c>
      <x:c r="H33" s="51" t="n">
        <x:v>0</x:v>
      </x:c>
      <x:c r="I33" s="51" t="n">
        <x:v>0</x:v>
      </x:c>
      <x:c r="J33" s="51" t="n">
        <x:v>0</x:v>
      </x:c>
      <x:c r="K33" s="51" t="n">
        <x:v>1</x:v>
      </x:c>
      <x:c r="L33" s="51" t="str"/>
      <x:c r="M33" s="51" t="str">
        <x:v>Paralysis, Nerve, Binding</x:v>
      </x:c>
      <x:c r="N33" s="39" t="str">
        <x:v>A straight black root marked by natural silver rings. It is hard as horn, smells of incense and storm-soaked soil, and tastes sharply mineral.</x:v>
      </x:c>
    </x:row>
    <x:row r="34">
      <x:c r="A34" s="38" t="str">
        <x:v>Core</x:v>
      </x:c>
      <x:c r="B34" s="51" t="str">
        <x:v>Root</x:v>
      </x:c>
      <x:c r="C34" s="51" t="str">
        <x:v>Very Rare</x:v>
      </x:c>
      <x:c r="D34" s="51" t="str">
        <x:v>Dragonheart Root</x:v>
      </x:c>
      <x:c r="E34" s="51" t="n">
        <x:v>6</x:v>
      </x:c>
      <x:c r="F34" s="51" t="n">
        <x:v>0</x:v>
      </x:c>
      <x:c r="G34" s="51" t="n">
        <x:v>75</x:v>
      </x:c>
      <x:c r="H34" s="51" t="n">
        <x:v>0</x:v>
      </x:c>
      <x:c r="I34" s="51" t="n">
        <x:v>2</x:v>
      </x:c>
      <x:c r="J34" s="51" t="n">
        <x:v>0</x:v>
      </x:c>
      <x:c r="K34" s="51" t="n">
        <x:v>0</x:v>
      </x:c>
      <x:c r="L34" s="51" t="str"/>
      <x:c r="M34" s="51" t="str"/>
      <x:c r="N34" s="39" t="str">
        <x:v>A thick crimson root with overlapping scales and a warm pulse under its bark. It smells of cinnamon, hot stone, and animal musk, and steams when cut.</x:v>
      </x:c>
    </x:row>
    <x:row r="35">
      <x:c r="A35" s="38" t="str">
        <x:v>Core</x:v>
      </x:c>
      <x:c r="B35" s="51" t="str">
        <x:v>Root</x:v>
      </x:c>
      <x:c r="C35" s="51" t="str">
        <x:v>Very Rare</x:v>
      </x:c>
      <x:c r="D35" s="51" t="str">
        <x:v>Sagevein Root</x:v>
      </x:c>
      <x:c r="E35" s="51" t="n">
        <x:v>6</x:v>
      </x:c>
      <x:c r="F35" s="51" t="n">
        <x:v>50</x:v>
      </x:c>
      <x:c r="G35" s="51" t="n">
        <x:v>75</x:v>
      </x:c>
      <x:c r="H35" s="51" t="n">
        <x:v>0</x:v>
      </x:c>
      <x:c r="I35" s="51" t="n">
        <x:v>0</x:v>
      </x:c>
      <x:c r="J35" s="51" t="n">
        <x:v>0</x:v>
      </x:c>
      <x:c r="K35" s="51" t="n">
        <x:v>0</x:v>
      </x:c>
      <x:c r="L35" s="51" t="str"/>
      <x:c r="M35" s="51" t="str"/>
      <x:c r="N35" s="39" t="str">
        <x:v>A pale blue root braided with silver threads. It feels cool and heavy in the hand, smells of rain on old stone, and leaves a clean mineral bite on the tongue.</x:v>
      </x:c>
    </x:row>
    <x:row r="36">
      <x:c r="A36" s="38" t="str">
        <x:v>Core</x:v>
      </x:c>
      <x:c r="B36" s="51" t="str">
        <x:v>Root</x:v>
      </x:c>
      <x:c r="C36" s="51" t="str">
        <x:v>Very Rare</x:v>
      </x:c>
      <x:c r="D36" s="51" t="str">
        <x:v>Titan Root</x:v>
      </x:c>
      <x:c r="E36" s="51" t="n">
        <x:v>6</x:v>
      </x:c>
      <x:c r="F36" s="51" t="n">
        <x:v>0</x:v>
      </x:c>
      <x:c r="G36" s="51" t="n">
        <x:v>25</x:v>
      </x:c>
      <x:c r="H36" s="51" t="n">
        <x:v>0</x:v>
      </x:c>
      <x:c r="I36" s="51" t="n">
        <x:v>0</x:v>
      </x:c>
      <x:c r="J36" s="51" t="n">
        <x:v>0</x:v>
      </x:c>
      <x:c r="K36" s="51" t="n">
        <x:v>1</x:v>
      </x:c>
      <x:c r="L36" s="51" t="str"/>
      <x:c r="M36" s="51" t="str"/>
      <x:c r="N36" s="39" t="str">
        <x:v>A massive splinter of root with stone-hard grain and a peppery bite. It smells of crushed bark, mountain soil, and animal musk.</x:v>
      </x:c>
    </x:row>
    <x:row r="37">
      <x:c r="A37" s="38" t="str">
        <x:v>Core</x:v>
      </x:c>
      <x:c r="B37" s="51" t="str">
        <x:v>Root</x:v>
      </x:c>
      <x:c r="C37" s="51" t="str">
        <x:v>Very Rare</x:v>
      </x:c>
      <x:c r="D37" s="51" t="str">
        <x:v>Worldroot Knot</x:v>
      </x:c>
      <x:c r="E37" s="51" t="n">
        <x:v>6</x:v>
      </x:c>
      <x:c r="F37" s="51" t="n">
        <x:v>0</x:v>
      </x:c>
      <x:c r="G37" s="51" t="n">
        <x:v>125</x:v>
      </x:c>
      <x:c r="H37" s="51" t="n">
        <x:v>0</x:v>
      </x:c>
      <x:c r="I37" s="51" t="n">
        <x:v>0</x:v>
      </x:c>
      <x:c r="J37" s="51" t="n">
        <x:v>0</x:v>
      </x:c>
      <x:c r="K37" s="51" t="n">
        <x:v>0</x:v>
      </x:c>
      <x:c r="L37" s="51" t="str"/>
      <x:c r="M37" s="51" t="str"/>
      <x:c r="N37" s="39" t="str">
        <x:v>A dark knot of root threaded with pale gold lines. It seems to pulse faintly in water and smells of ancient forests after rain.</x:v>
      </x:c>
    </x:row>
    <x:row r="38">
      <x:c r="A38" s="38" t="str">
        <x:v>Core</x:v>
      </x:c>
      <x:c r="B38" s="51" t="str">
        <x:v>Sap / Resin</x:v>
      </x:c>
      <x:c r="C38" s="51" t="str">
        <x:v>Common</x:v>
      </x:c>
      <x:c r="D38" s="51" t="str">
        <x:v>Birch Tear</x:v>
      </x:c>
      <x:c r="E38" s="51" t="n">
        <x:v>0</x:v>
      </x:c>
      <x:c r="F38" s="51" t="n">
        <x:v>25</x:v>
      </x:c>
      <x:c r="G38" s="51" t="n">
        <x:v>0</x:v>
      </x:c>
      <x:c r="H38" s="51" t="n">
        <x:v>0</x:v>
      </x:c>
      <x:c r="I38" s="51" t="n">
        <x:v>0</x:v>
      </x:c>
      <x:c r="J38" s="51" t="n">
        <x:v>0</x:v>
      </x:c>
      <x:c r="K38" s="51" t="n">
        <x:v>0</x:v>
      </x:c>
      <x:c r="L38" s="51" t="str"/>
      <x:c r="M38" s="51" t="str"/>
      <x:c r="N38" s="39" t="str">
        <x:v>A cloudy bead of pale birch resin that softens in body heat. It smells sweet and green, with hints of winter bark and clean smoke.</x:v>
      </x:c>
    </x:row>
    <x:row r="39">
      <x:c r="A39" s="38" t="str">
        <x:v>Core</x:v>
      </x:c>
      <x:c r="B39" s="51" t="str">
        <x:v>Sap / Resin</x:v>
      </x:c>
      <x:c r="C39" s="51" t="str">
        <x:v>Common</x:v>
      </x:c>
      <x:c r="D39" s="51" t="str">
        <x:v>Firblood Pitch</x:v>
      </x:c>
      <x:c r="E39" s="51" t="n">
        <x:v>0</x:v>
      </x:c>
      <x:c r="F39" s="51" t="n">
        <x:v>25</x:v>
      </x:c>
      <x:c r="G39" s="51" t="n">
        <x:v>0</x:v>
      </x:c>
      <x:c r="H39" s="51" t="n">
        <x:v>0</x:v>
      </x:c>
      <x:c r="I39" s="51" t="n">
        <x:v>0</x:v>
      </x:c>
      <x:c r="J39" s="51" t="n">
        <x:v>0</x:v>
      </x:c>
      <x:c r="K39" s="51" t="n">
        <x:v>0</x:v>
      </x:c>
      <x:c r="L39" s="51" t="str"/>
      <x:c r="M39" s="51" t="str"/>
      <x:c r="N39" s="39" t="str">
        <x:v>A dark red pitch that beads slowly from fir bark. It is sticky and warm, smelling of pine smoke, bitter citrus, and fresh-cut timber.</x:v>
      </x:c>
    </x:row>
    <x:row r="40">
      <x:c r="A40" s="38" t="str">
        <x:v>Core</x:v>
      </x:c>
      <x:c r="B40" s="51" t="str">
        <x:v>Sap / Resin</x:v>
      </x:c>
      <x:c r="C40" s="51" t="str">
        <x:v>Common</x:v>
      </x:c>
      <x:c r="D40" s="51" t="str">
        <x:v>Pine Pitch</x:v>
      </x:c>
      <x:c r="E40" s="51" t="n">
        <x:v>0</x:v>
      </x:c>
      <x:c r="F40" s="51" t="n">
        <x:v>0</x:v>
      </x:c>
      <x:c r="G40" s="51" t="n">
        <x:v>25</x:v>
      </x:c>
      <x:c r="H40" s="51" t="n">
        <x:v>0</x:v>
      </x:c>
      <x:c r="I40" s="51" t="n">
        <x:v>0</x:v>
      </x:c>
      <x:c r="J40" s="51" t="n">
        <x:v>0</x:v>
      </x:c>
      <x:c r="K40" s="51" t="n">
        <x:v>0</x:v>
      </x:c>
      <x:c r="L40" s="51" t="str"/>
      <x:c r="M40" s="51" t="str"/>
      <x:c r="N40" s="39" t="str">
        <x:v>Sticky golden pitch that strings between fingers. It smells sharply of pine needles, clean resin, and smoke-warmed bark.</x:v>
      </x:c>
    </x:row>
    <x:row r="41">
      <x:c r="A41" s="38" t="str">
        <x:v>Core</x:v>
      </x:c>
      <x:c r="B41" s="51" t="str">
        <x:v>Sap / Resin</x:v>
      </x:c>
      <x:c r="C41" s="51" t="str">
        <x:v>Common</x:v>
      </x:c>
      <x:c r="D41" s="51" t="str">
        <x:v>Reedgum</x:v>
      </x:c>
      <x:c r="E41" s="51" t="n">
        <x:v>0</x:v>
      </x:c>
      <x:c r="F41" s="51" t="n">
        <x:v>0</x:v>
      </x:c>
      <x:c r="G41" s="51" t="n">
        <x:v>25</x:v>
      </x:c>
      <x:c r="H41" s="51" t="n">
        <x:v>0</x:v>
      </x:c>
      <x:c r="I41" s="51" t="n">
        <x:v>0</x:v>
      </x:c>
      <x:c r="J41" s="51" t="n">
        <x:v>0</x:v>
      </x:c>
      <x:c r="K41" s="51" t="n">
        <x:v>0</x:v>
      </x:c>
      <x:c r="L41" s="51" t="str"/>
      <x:c r="M41" s="51" t="str"/>
      <x:c r="N41" s="39" t="str">
        <x:v>Amber-green gum scraped from marsh reeds in flexible ribbons. It is tacky, faintly salty, and smells of cut grass, pond water, and warm sugar.</x:v>
      </x:c>
    </x:row>
    <x:row r="42">
      <x:c r="A42" s="38" t="str">
        <x:v>Core</x:v>
      </x:c>
      <x:c r="B42" s="51" t="str">
        <x:v>Sap / Resin</x:v>
      </x:c>
      <x:c r="C42" s="51" t="str">
        <x:v>Common</x:v>
      </x:c>
      <x:c r="D42" s="51" t="str">
        <x:v>Willow Gum</x:v>
      </x:c>
      <x:c r="E42" s="51" t="n">
        <x:v>0</x:v>
      </x:c>
      <x:c r="F42" s="51" t="n">
        <x:v>0</x:v>
      </x:c>
      <x:c r="G42" s="51" t="n">
        <x:v>25</x:v>
      </x:c>
      <x:c r="H42" s="51" t="n">
        <x:v>0</x:v>
      </x:c>
      <x:c r="I42" s="51" t="n">
        <x:v>0</x:v>
      </x:c>
      <x:c r="J42" s="51" t="n">
        <x:v>0</x:v>
      </x:c>
      <x:c r="K42" s="51" t="n">
        <x:v>0</x:v>
      </x:c>
      <x:c r="L42" s="51" t="str"/>
      <x:c r="M42" s="51" t="str"/>
      <x:c r="N42" s="39" t="str">
        <x:v>A clear-green gum that stretches into fine threads between the fingers. It smells of cut willow, cucumber, and river water, with a mildly sweet taste.</x:v>
      </x:c>
    </x:row>
    <x:row r="43">
      <x:c r="A43" s="38" t="str">
        <x:v>Core</x:v>
      </x:c>
      <x:c r="B43" s="51" t="str">
        <x:v>Sap / Resin</x:v>
      </x:c>
      <x:c r="C43" s="51" t="str">
        <x:v>Uncommon</x:v>
      </x:c>
      <x:c r="D43" s="51" t="str">
        <x:v>Amber Sap</x:v>
      </x:c>
      <x:c r="E43" s="51" t="n">
        <x:v>2</x:v>
      </x:c>
      <x:c r="F43" s="51" t="n">
        <x:v>0</x:v>
      </x:c>
      <x:c r="G43" s="51" t="n">
        <x:v>75</x:v>
      </x:c>
      <x:c r="H43" s="51" t="n">
        <x:v>0</x:v>
      </x:c>
      <x:c r="I43" s="51" t="n">
        <x:v>0</x:v>
      </x:c>
      <x:c r="J43" s="51" t="n">
        <x:v>0</x:v>
      </x:c>
      <x:c r="K43" s="51" t="n">
        <x:v>0</x:v>
      </x:c>
      <x:c r="L43" s="51" t="str"/>
      <x:c r="M43" s="51" t="str"/>
      <x:c r="N43" s="39" t="str">
        <x:v>A honey-colored sap sealed in soft wax. It smells sweet, green, and medicinal, and it clings to glass in slow bright streaks.</x:v>
      </x:c>
    </x:row>
    <x:row r="44">
      <x:c r="A44" s="38" t="str">
        <x:v>Core</x:v>
      </x:c>
      <x:c r="B44" s="51" t="str">
        <x:v>Sap / Resin</x:v>
      </x:c>
      <x:c r="C44" s="51" t="str">
        <x:v>Uncommon</x:v>
      </x:c>
      <x:c r="D44" s="51" t="str">
        <x:v>Glassgum Resin</x:v>
      </x:c>
      <x:c r="E44" s="51" t="n">
        <x:v>2</x:v>
      </x:c>
      <x:c r="F44" s="51" t="n">
        <x:v>50</x:v>
      </x:c>
      <x:c r="G44" s="51" t="n">
        <x:v>25</x:v>
      </x:c>
      <x:c r="H44" s="51" t="n">
        <x:v>0</x:v>
      </x:c>
      <x:c r="I44" s="51" t="n">
        <x:v>0</x:v>
      </x:c>
      <x:c r="J44" s="51" t="n">
        <x:v>0</x:v>
      </x:c>
      <x:c r="K44" s="51" t="n">
        <x:v>0</x:v>
      </x:c>
      <x:c r="L44" s="51" t="str"/>
      <x:c r="M44" s="51" t="str"/>
      <x:c r="N44" s="39" t="str">
        <x:v>A clear resin bead that cracks like sugar glass. When warmed, it smells of minty sap and leaves a shining film on the spoon.</x:v>
      </x:c>
    </x:row>
    <x:row r="45">
      <x:c r="A45" s="38" t="str">
        <x:v>Core</x:v>
      </x:c>
      <x:c r="B45" s="51" t="str">
        <x:v>Sap / Resin</x:v>
      </x:c>
      <x:c r="C45" s="51" t="str">
        <x:v>Uncommon</x:v>
      </x:c>
      <x:c r="D45" s="51" t="str">
        <x:v>Honey Resin</x:v>
      </x:c>
      <x:c r="E45" s="51" t="n">
        <x:v>2</x:v>
      </x:c>
      <x:c r="F45" s="51" t="n">
        <x:v>0</x:v>
      </x:c>
      <x:c r="G45" s="51" t="n">
        <x:v>25</x:v>
      </x:c>
      <x:c r="H45" s="51" t="n">
        <x:v>0</x:v>
      </x:c>
      <x:c r="I45" s="51" t="n">
        <x:v>1</x:v>
      </x:c>
      <x:c r="J45" s="51" t="n">
        <x:v>0</x:v>
      </x:c>
      <x:c r="K45" s="51" t="n">
        <x:v>0</x:v>
      </x:c>
      <x:c r="L45" s="51" t="str"/>
      <x:c r="M45" s="51" t="str"/>
      <x:c r="N45" s="39" t="str">
        <x:v>A soft gold resin filled with tiny air bubbles. It stretches into threads, tastes faintly floral, and smells of beeswax, clover, and sun-warmed wood.</x:v>
      </x:c>
    </x:row>
    <x:row r="46">
      <x:c r="A46" s="38" t="str">
        <x:v>Core</x:v>
      </x:c>
      <x:c r="B46" s="51" t="str">
        <x:v>Sap / Resin</x:v>
      </x:c>
      <x:c r="C46" s="51" t="str">
        <x:v>Uncommon</x:v>
      </x:c>
      <x:c r="D46" s="51" t="str">
        <x:v>Moonpine Resin</x:v>
      </x:c>
      <x:c r="E46" s="51" t="n">
        <x:v>2</x:v>
      </x:c>
      <x:c r="F46" s="51" t="n">
        <x:v>25</x:v>
      </x:c>
      <x:c r="G46" s="51" t="n">
        <x:v>50</x:v>
      </x:c>
      <x:c r="H46" s="51" t="n">
        <x:v>0</x:v>
      </x:c>
      <x:c r="I46" s="51" t="n">
        <x:v>0</x:v>
      </x:c>
      <x:c r="J46" s="51" t="n">
        <x:v>0</x:v>
      </x:c>
      <x:c r="K46" s="51" t="n">
        <x:v>0</x:v>
      </x:c>
      <x:c r="L46" s="51" t="str"/>
      <x:c r="M46" s="51" t="str"/>
      <x:c r="N46" s="39" t="str">
        <x:v>A pearl-blue resin that glows softly in darkness. It is smooth as glass when cool, smells of pine needles and moonlit frost, and melts at body heat.</x:v>
      </x:c>
    </x:row>
    <x:row r="47">
      <x:c r="A47" s="38" t="str">
        <x:v>Core</x:v>
      </x:c>
      <x:c r="B47" s="51" t="str">
        <x:v>Sap / Resin</x:v>
      </x:c>
      <x:c r="C47" s="51" t="str">
        <x:v>Uncommon</x:v>
      </x:c>
      <x:c r="D47" s="51" t="str">
        <x:v>Sweetbark Amber</x:v>
      </x:c>
      <x:c r="E47" s="51" t="n">
        <x:v>2</x:v>
      </x:c>
      <x:c r="F47" s="51" t="n">
        <x:v>25</x:v>
      </x:c>
      <x:c r="G47" s="51" t="n">
        <x:v>50</x:v>
      </x:c>
      <x:c r="H47" s="51" t="n">
        <x:v>0</x:v>
      </x:c>
      <x:c r="I47" s="51" t="n">
        <x:v>0</x:v>
      </x:c>
      <x:c r="J47" s="51" t="n">
        <x:v>0</x:v>
      </x:c>
      <x:c r="K47" s="51" t="n">
        <x:v>0</x:v>
      </x:c>
      <x:c r="L47" s="51" t="str"/>
      <x:c r="M47" s="51" t="str"/>
      <x:c r="N47" s="39" t="str">
        <x:v>Golden amber tears with tiny bubbles trapped inside. They crack like hard candy, smell of vanilla bark and honey, and leave a lingering warm sweetness.</x:v>
      </x:c>
    </x:row>
    <x:row r="48">
      <x:c r="A48" s="38" t="str">
        <x:v>Core</x:v>
      </x:c>
      <x:c r="B48" s="51" t="str">
        <x:v>Sap / Resin</x:v>
      </x:c>
      <x:c r="C48" s="51" t="str">
        <x:v>Rare</x:v>
      </x:c>
      <x:c r="D48" s="51" t="str">
        <x:v>Aetherglass Sap</x:v>
      </x:c>
      <x:c r="E48" s="51" t="n">
        <x:v>4</x:v>
      </x:c>
      <x:c r="F48" s="51" t="n">
        <x:v>25</x:v>
      </x:c>
      <x:c r="G48" s="51" t="n">
        <x:v>75</x:v>
      </x:c>
      <x:c r="H48" s="51" t="n">
        <x:v>0</x:v>
      </x:c>
      <x:c r="I48" s="51" t="n">
        <x:v>0</x:v>
      </x:c>
      <x:c r="J48" s="51" t="n">
        <x:v>0</x:v>
      </x:c>
      <x:c r="K48" s="51" t="n">
        <x:v>0</x:v>
      </x:c>
      <x:c r="L48" s="51" t="str"/>
      <x:c r="M48" s="51" t="str"/>
      <x:c r="N48" s="39" t="str">
        <x:v>Nearly transparent sap with tiny star-like bubbles suspended inside. It feels cool, slick, and smells faintly of ozone and green wood.</x:v>
      </x:c>
    </x:row>
    <x:row r="49">
      <x:c r="A49" s="38" t="str">
        <x:v>Core</x:v>
      </x:c>
      <x:c r="B49" s="51" t="str">
        <x:v>Sap / Resin</x:v>
      </x:c>
      <x:c r="C49" s="51" t="str">
        <x:v>Rare</x:v>
      </x:c>
      <x:c r="D49" s="51" t="str">
        <x:v>Ghostglass Sap</x:v>
      </x:c>
      <x:c r="E49" s="51" t="n">
        <x:v>4</x:v>
      </x:c>
      <x:c r="F49" s="51" t="n">
        <x:v>50</x:v>
      </x:c>
      <x:c r="G49" s="51" t="n">
        <x:v>50</x:v>
      </x:c>
      <x:c r="H49" s="51" t="n">
        <x:v>0</x:v>
      </x:c>
      <x:c r="I49" s="51" t="n">
        <x:v>0</x:v>
      </x:c>
      <x:c r="J49" s="51" t="n">
        <x:v>0</x:v>
      </x:c>
      <x:c r="K49" s="51" t="n">
        <x:v>0</x:v>
      </x:c>
      <x:c r="L49" s="51" t="str"/>
      <x:c r="M49" s="51" t="str"/>
      <x:c r="N49" s="39" t="str">
        <x:v>A colorless sap visible only where it bends the light. It feels dry despite being fluid and smells of cold stone, clean linen, and distant rain.</x:v>
      </x:c>
    </x:row>
    <x:row r="50">
      <x:c r="A50" s="38" t="str">
        <x:v>Core</x:v>
      </x:c>
      <x:c r="B50" s="51" t="str">
        <x:v>Sap / Resin</x:v>
      </x:c>
      <x:c r="C50" s="51" t="str">
        <x:v>Rare</x:v>
      </x:c>
      <x:c r="D50" s="51" t="str">
        <x:v>Mirrorgum</x:v>
      </x:c>
      <x:c r="E50" s="51" t="n">
        <x:v>4</x:v>
      </x:c>
      <x:c r="F50" s="51" t="n">
        <x:v>0</x:v>
      </x:c>
      <x:c r="G50" s="51" t="n">
        <x:v>50</x:v>
      </x:c>
      <x:c r="H50" s="51" t="n">
        <x:v>0</x:v>
      </x:c>
      <x:c r="I50" s="51" t="n">
        <x:v>1</x:v>
      </x:c>
      <x:c r="J50" s="51" t="n">
        <x:v>0</x:v>
      </x:c>
      <x:c r="K50" s="51" t="n">
        <x:v>0</x:v>
      </x:c>
      <x:c r="L50" s="51" t="str"/>
      <x:c r="M50" s="51" t="str">
        <x:v>Restraint, Binding</x:v>
      </x:c>
      <x:c r="N50" s="39" t="str">
        <x:v>A clear resin that hardens to a glassy shine but bends without cracking. It smells of citrus peel, polished wood, and a trace of ozone.</x:v>
      </x:c>
    </x:row>
    <x:row r="51">
      <x:c r="A51" s="38" t="str">
        <x:v>Core</x:v>
      </x:c>
      <x:c r="B51" s="51" t="str">
        <x:v>Sap / Resin</x:v>
      </x:c>
      <x:c r="C51" s="51" t="str">
        <x:v>Rare</x:v>
      </x:c>
      <x:c r="D51" s="51" t="str">
        <x:v>Sunamber Resin</x:v>
      </x:c>
      <x:c r="E51" s="51" t="n">
        <x:v>4</x:v>
      </x:c>
      <x:c r="F51" s="51" t="n">
        <x:v>0</x:v>
      </x:c>
      <x:c r="G51" s="51" t="n">
        <x:v>100</x:v>
      </x:c>
      <x:c r="H51" s="51" t="n">
        <x:v>0</x:v>
      </x:c>
      <x:c r="I51" s="51" t="n">
        <x:v>0</x:v>
      </x:c>
      <x:c r="J51" s="51" t="n">
        <x:v>0</x:v>
      </x:c>
      <x:c r="K51" s="51" t="n">
        <x:v>0</x:v>
      </x:c>
      <x:c r="L51" s="51" t="str"/>
      <x:c r="M51" s="51" t="str"/>
      <x:c r="N51" s="39" t="str">
        <x:v>A deep orange resin that glows under flame-light. It smells of hot pine, dried citrus peel, and old wooden temples.</x:v>
      </x:c>
    </x:row>
    <x:row r="52">
      <x:c r="A52" s="38" t="str">
        <x:v>Core</x:v>
      </x:c>
      <x:c r="B52" s="51" t="str">
        <x:v>Sap / Resin</x:v>
      </x:c>
      <x:c r="C52" s="51" t="str">
        <x:v>Very Rare</x:v>
      </x:c>
      <x:c r="D52" s="51" t="str">
        <x:v>Elder Amber Resin</x:v>
      </x:c>
      <x:c r="E52" s="51" t="n">
        <x:v>6</x:v>
      </x:c>
      <x:c r="F52" s="51" t="n">
        <x:v>0</x:v>
      </x:c>
      <x:c r="G52" s="51" t="n">
        <x:v>125</x:v>
      </x:c>
      <x:c r="H52" s="51" t="n">
        <x:v>0</x:v>
      </x:c>
      <x:c r="I52" s="51" t="n">
        <x:v>0</x:v>
      </x:c>
      <x:c r="J52" s="51" t="n">
        <x:v>0</x:v>
      </x:c>
      <x:c r="K52" s="51" t="n">
        <x:v>0</x:v>
      </x:c>
      <x:c r="L52" s="51" t="str"/>
      <x:c r="M52" s="51" t="str"/>
      <x:c r="N52" s="39" t="str">
        <x:v>A dark honey resin with ancient bark flakes trapped inside. Its smell is deep, sweet, and smoky, like incense burned in a cedar hall.</x:v>
      </x:c>
    </x:row>
    <x:row r="53">
      <x:c r="A53" s="38" t="str">
        <x:v>Core</x:v>
      </x:c>
      <x:c r="B53" s="51" t="str">
        <x:v>Sap / Resin</x:v>
      </x:c>
      <x:c r="C53" s="51" t="str">
        <x:v>Very Rare</x:v>
      </x:c>
      <x:c r="D53" s="51" t="str">
        <x:v>Kingsap Amber</x:v>
      </x:c>
      <x:c r="E53" s="51" t="n">
        <x:v>6</x:v>
      </x:c>
      <x:c r="F53" s="51" t="n">
        <x:v>75</x:v>
      </x:c>
      <x:c r="G53" s="51" t="n">
        <x:v>0</x:v>
      </x:c>
      <x:c r="H53" s="51" t="n">
        <x:v>0</x:v>
      </x:c>
      <x:c r="I53" s="51" t="n">
        <x:v>2</x:v>
      </x:c>
      <x:c r="J53" s="51" t="n">
        <x:v>0</x:v>
      </x:c>
      <x:c r="K53" s="51" t="n">
        <x:v>0</x:v>
      </x:c>
      <x:c r="L53" s="51" t="str"/>
      <x:c r="M53" s="51" t="str"/>
      <x:c r="N53" s="39" t="str">
        <x:v>Deep red-gold amber with slow-moving flecks suspended inside. It warms when held and smells of old cedar chests, incense, and ripe fruit.</x:v>
      </x:c>
    </x:row>
    <x:row r="54">
      <x:c r="A54" s="38" t="str">
        <x:v>Core</x:v>
      </x:c>
      <x:c r="B54" s="51" t="str">
        <x:v>Sap / Resin</x:v>
      </x:c>
      <x:c r="C54" s="51" t="str">
        <x:v>Very Rare</x:v>
      </x:c>
      <x:c r="D54" s="51" t="str">
        <x:v>Myrrh of the First Grove</x:v>
      </x:c>
      <x:c r="E54" s="51" t="n">
        <x:v>6</x:v>
      </x:c>
      <x:c r="F54" s="51" t="n">
        <x:v>75</x:v>
      </x:c>
      <x:c r="G54" s="51" t="n">
        <x:v>50</x:v>
      </x:c>
      <x:c r="H54" s="51" t="n">
        <x:v>0</x:v>
      </x:c>
      <x:c r="I54" s="51" t="n">
        <x:v>0</x:v>
      </x:c>
      <x:c r="J54" s="51" t="n">
        <x:v>0</x:v>
      </x:c>
      <x:c r="K54" s="51" t="n">
        <x:v>0</x:v>
      </x:c>
      <x:c r="L54" s="51" t="str"/>
      <x:c r="M54" s="51" t="str"/>
      <x:c r="N54" s="39" t="str">
        <x:v>A sacred brown resin with silver flecks and a slow fragrant smoke when warmed. It smells of myrrh, rain, and living wood.</x:v>
      </x:c>
    </x:row>
    <x:row r="55">
      <x:c r="A55" s="38" t="str">
        <x:v>Core</x:v>
      </x:c>
      <x:c r="B55" s="51" t="str">
        <x:v>Sap / Resin</x:v>
      </x:c>
      <x:c r="C55" s="51" t="str">
        <x:v>Very Rare</x:v>
      </x:c>
      <x:c r="D55" s="51" t="str">
        <x:v>Timebound Myrrh</x:v>
      </x:c>
      <x:c r="E55" s="51" t="n">
        <x:v>6</x:v>
      </x:c>
      <x:c r="F55" s="51" t="n">
        <x:v>0</x:v>
      </x:c>
      <x:c r="G55" s="51" t="n">
        <x:v>25</x:v>
      </x:c>
      <x:c r="H55" s="51" t="n">
        <x:v>0</x:v>
      </x:c>
      <x:c r="I55" s="51" t="n">
        <x:v>0</x:v>
      </x:c>
      <x:c r="J55" s="51" t="n">
        <x:v>0</x:v>
      </x:c>
      <x:c r="K55" s="51" t="n">
        <x:v>1</x:v>
      </x:c>
      <x:c r="L55" s="51" t="str"/>
      <x:c r="M55" s="51" t="str"/>
      <x:c r="N55" s="39" t="str">
        <x:v>Black-violet resin that drips upward when uncorked. It smells of ancient cedar, bitter wine, and temple smoke, and leaves a slow heartbeat sensation in the palm.</x:v>
      </x:c>
    </x:row>
    <x:row r="56">
      <x:c r="A56" s="38" t="str">
        <x:v>Core</x:v>
      </x:c>
      <x:c r="B56" s="51" t="str">
        <x:v>Moss / Lichen</x:v>
      </x:c>
      <x:c r="C56" s="51" t="str">
        <x:v>Common</x:v>
      </x:c>
      <x:c r="D56" s="51" t="str">
        <x:v>Ashwall Lichen</x:v>
      </x:c>
      <x:c r="E56" s="51" t="n">
        <x:v>0</x:v>
      </x:c>
      <x:c r="F56" s="51" t="n">
        <x:v>0</x:v>
      </x:c>
      <x:c r="G56" s="51" t="n">
        <x:v>0</x:v>
      </x:c>
      <x:c r="H56" s="51" t="n">
        <x:v>25</x:v>
      </x:c>
      <x:c r="I56" s="51" t="n">
        <x:v>0</x:v>
      </x:c>
      <x:c r="J56" s="51" t="n">
        <x:v>0</x:v>
      </x:c>
      <x:c r="K56" s="51" t="n">
        <x:v>0</x:v>
      </x:c>
      <x:c r="L56" s="51" t="str"/>
      <x:c r="M56" s="51" t="str"/>
      <x:c r="N56" s="39" t="str">
        <x:v>Flat gray lichen with white scalloped edges, usually peeled from old hearthstones. It is papery and dry, smelling of ash, chalk, and faint smoke.</x:v>
      </x:c>
    </x:row>
    <x:row r="57">
      <x:c r="A57" s="38" t="str">
        <x:v>Core</x:v>
      </x:c>
      <x:c r="B57" s="51" t="str">
        <x:v>Moss / Lichen</x:v>
      </x:c>
      <x:c r="C57" s="51" t="str">
        <x:v>Common</x:v>
      </x:c>
      <x:c r="D57" s="51" t="str">
        <x:v>Brookmoss</x:v>
      </x:c>
      <x:c r="E57" s="51" t="n">
        <x:v>0</x:v>
      </x:c>
      <x:c r="F57" s="51" t="n">
        <x:v>25</x:v>
      </x:c>
      <x:c r="G57" s="51" t="n">
        <x:v>0</x:v>
      </x:c>
      <x:c r="H57" s="51" t="n">
        <x:v>0</x:v>
      </x:c>
      <x:c r="I57" s="51" t="n">
        <x:v>0</x:v>
      </x:c>
      <x:c r="J57" s="51" t="n">
        <x:v>0</x:v>
      </x:c>
      <x:c r="K57" s="51" t="n">
        <x:v>0</x:v>
      </x:c>
      <x:c r="L57" s="51" t="str"/>
      <x:c r="M57" s="51" t="str"/>
      <x:c r="N57" s="39" t="str">
        <x:v>Fine emerald moss that stays slick with cold water. It feels like wet velvet and smells of river stones, fern shade, and clean mud.</x:v>
      </x:c>
    </x:row>
    <x:row r="58">
      <x:c r="A58" s="38" t="str">
        <x:v>Core</x:v>
      </x:c>
      <x:c r="B58" s="51" t="str">
        <x:v>Moss / Lichen</x:v>
      </x:c>
      <x:c r="C58" s="51" t="str">
        <x:v>Common</x:v>
      </x:c>
      <x:c r="D58" s="51" t="str">
        <x:v>Cavern Moss</x:v>
      </x:c>
      <x:c r="E58" s="51" t="n">
        <x:v>0</x:v>
      </x:c>
      <x:c r="F58" s="51" t="n">
        <x:v>0</x:v>
      </x:c>
      <x:c r="G58" s="51" t="n">
        <x:v>25</x:v>
      </x:c>
      <x:c r="H58" s="51" t="n">
        <x:v>0</x:v>
      </x:c>
      <x:c r="I58" s="51" t="n">
        <x:v>0</x:v>
      </x:c>
      <x:c r="J58" s="51" t="n">
        <x:v>0</x:v>
      </x:c>
      <x:c r="K58" s="51" t="n">
        <x:v>0</x:v>
      </x:c>
      <x:c r="L58" s="51" t="str"/>
      <x:c r="M58" s="51" t="str"/>
      <x:c r="N58" s="39" t="str">
        <x:v>A cool green mat with grit caught in its underside. It smells of cave water, wet stone, and shaded bark.</x:v>
      </x:c>
    </x:row>
    <x:row r="59">
      <x:c r="A59" s="38" t="str">
        <x:v>Core</x:v>
      </x:c>
      <x:c r="B59" s="51" t="str">
        <x:v>Moss / Lichen</x:v>
      </x:c>
      <x:c r="C59" s="51" t="str">
        <x:v>Common</x:v>
      </x:c>
      <x:c r="D59" s="51" t="str">
        <x:v>Lantern Moss</x:v>
      </x:c>
      <x:c r="E59" s="51" t="n">
        <x:v>0</x:v>
      </x:c>
      <x:c r="F59" s="51" t="n">
        <x:v>0</x:v>
      </x:c>
      <x:c r="G59" s="51" t="n">
        <x:v>25</x:v>
      </x:c>
      <x:c r="H59" s="51" t="n">
        <x:v>0</x:v>
      </x:c>
      <x:c r="I59" s="51" t="n">
        <x:v>0</x:v>
      </x:c>
      <x:c r="J59" s="51" t="n">
        <x:v>0</x:v>
      </x:c>
      <x:c r="K59" s="51" t="n">
        <x:v>0</x:v>
      </x:c>
      <x:c r="L59" s="51" t="str"/>
      <x:c r="M59" s="51" t="str"/>
      <x:c r="N59" s="39" t="str">
        <x:v>Soft yellow-green moss tipped with pinpricks of pale light. It feels like warm velvet and smells of rainwater, melon rind, and cave stone.</x:v>
      </x:c>
    </x:row>
    <x:row r="60">
      <x:c r="A60" s="38" t="str">
        <x:v>Core</x:v>
      </x:c>
      <x:c r="B60" s="51" t="str">
        <x:v>Moss / Lichen</x:v>
      </x:c>
      <x:c r="C60" s="51" t="str">
        <x:v>Common</x:v>
      </x:c>
      <x:c r="D60" s="51" t="str">
        <x:v>Roofscale Lichen</x:v>
      </x:c>
      <x:c r="E60" s="51" t="n">
        <x:v>0</x:v>
      </x:c>
      <x:c r="F60" s="51" t="n">
        <x:v>25</x:v>
      </x:c>
      <x:c r="G60" s="51" t="n">
        <x:v>0</x:v>
      </x:c>
      <x:c r="H60" s="51" t="n">
        <x:v>0</x:v>
      </x:c>
      <x:c r="I60" s="51" t="n">
        <x:v>0</x:v>
      </x:c>
      <x:c r="J60" s="51" t="n">
        <x:v>0</x:v>
      </x:c>
      <x:c r="K60" s="51" t="n">
        <x:v>0</x:v>
      </x:c>
      <x:c r="L60" s="51" t="str"/>
      <x:c r="M60" s="51" t="str"/>
      <x:c r="N60" s="39" t="str">
        <x:v>Flat gray scales that cling to old shingles and ruin walls. They peel like thin leather and smell of dust, lime, and sun-warmed slate.</x:v>
      </x:c>
    </x:row>
    <x:row r="61">
      <x:c r="A61" s="38" t="str">
        <x:v>Core</x:v>
      </x:c>
      <x:c r="B61" s="51" t="str">
        <x:v>Moss / Lichen</x:v>
      </x:c>
      <x:c r="C61" s="51" t="str">
        <x:v>Uncommon</x:v>
      </x:c>
      <x:c r="D61" s="51" t="str">
        <x:v>Bedmoss</x:v>
      </x:c>
      <x:c r="E61" s="51" t="n">
        <x:v>2</x:v>
      </x:c>
      <x:c r="F61" s="51" t="n">
        <x:v>0</x:v>
      </x:c>
      <x:c r="G61" s="51" t="n">
        <x:v>25</x:v>
      </x:c>
      <x:c r="H61" s="51" t="n">
        <x:v>0</x:v>
      </x:c>
      <x:c r="I61" s="51" t="n">
        <x:v>1</x:v>
      </x:c>
      <x:c r="J61" s="51" t="n">
        <x:v>0</x:v>
      </x:c>
      <x:c r="K61" s="51" t="n">
        <x:v>0</x:v>
      </x:c>
      <x:c r="L61" s="51" t="str"/>
      <x:c r="M61" s="51" t="str"/>
      <x:c r="N61" s="39" t="str">
        <x:v>A thick cushion of springy blue-green moss that slowly regains its shape when pressed. It smells of cool caves, linen, and fresh mushrooms.</x:v>
      </x:c>
    </x:row>
    <x:row r="62">
      <x:c r="A62" s="38" t="str">
        <x:v>Core</x:v>
      </x:c>
      <x:c r="B62" s="51" t="str">
        <x:v>Moss / Lichen</x:v>
      </x:c>
      <x:c r="C62" s="51" t="str">
        <x:v>Uncommon</x:v>
      </x:c>
      <x:c r="D62" s="51" t="str">
        <x:v>Cliffgrip Lichen</x:v>
      </x:c>
      <x:c r="E62" s="51" t="n">
        <x:v>2</x:v>
      </x:c>
      <x:c r="F62" s="51" t="n">
        <x:v>25</x:v>
      </x:c>
      <x:c r="G62" s="51" t="n">
        <x:v>50</x:v>
      </x:c>
      <x:c r="H62" s="51" t="n">
        <x:v>0</x:v>
      </x:c>
      <x:c r="I62" s="51" t="n">
        <x:v>0</x:v>
      </x:c>
      <x:c r="J62" s="51" t="n">
        <x:v>0</x:v>
      </x:c>
      <x:c r="K62" s="51" t="n">
        <x:v>0</x:v>
      </x:c>
      <x:c r="L62" s="51" t="str"/>
      <x:c r="M62" s="51" t="str"/>
      <x:c r="N62" s="39" t="str">
        <x:v>A leathery orange lichen that clings hard to stone chips. It smells dry, sharp, and mineral, with a chalky taste.</x:v>
      </x:c>
    </x:row>
    <x:row r="63">
      <x:c r="A63" s="38" t="str">
        <x:v>Core</x:v>
      </x:c>
      <x:c r="B63" s="51" t="str">
        <x:v>Moss / Lichen</x:v>
      </x:c>
      <x:c r="C63" s="51" t="str">
        <x:v>Uncommon</x:v>
      </x:c>
      <x:c r="D63" s="51" t="str">
        <x:v>Frostlace Lichen</x:v>
      </x:c>
      <x:c r="E63" s="51" t="n">
        <x:v>2</x:v>
      </x:c>
      <x:c r="F63" s="51" t="n">
        <x:v>50</x:v>
      </x:c>
      <x:c r="G63" s="51" t="n">
        <x:v>25</x:v>
      </x:c>
      <x:c r="H63" s="51" t="n">
        <x:v>0</x:v>
      </x:c>
      <x:c r="I63" s="51" t="n">
        <x:v>0</x:v>
      </x:c>
      <x:c r="J63" s="51" t="n">
        <x:v>0</x:v>
      </x:c>
      <x:c r="K63" s="51" t="n">
        <x:v>0</x:v>
      </x:c>
      <x:c r="L63" s="51" t="str"/>
      <x:c r="M63" s="51" t="str">
        <x:v>Cold</x:v>
      </x:c>
      <x:c r="N63" s="39" t="str">
        <x:v>Fine white branching lichen patterned like frozen lace. It crackles under a thumb and smells of mint, chalk, and snowmelt.</x:v>
      </x:c>
    </x:row>
    <x:row r="64">
      <x:c r="A64" s="38" t="str">
        <x:v>Core</x:v>
      </x:c>
      <x:c r="B64" s="51" t="str">
        <x:v>Moss / Lichen</x:v>
      </x:c>
      <x:c r="C64" s="51" t="str">
        <x:v>Uncommon</x:v>
      </x:c>
      <x:c r="D64" s="51" t="str">
        <x:v>Redveil Moss</x:v>
      </x:c>
      <x:c r="E64" s="51" t="n">
        <x:v>2</x:v>
      </x:c>
      <x:c r="F64" s="51" t="n">
        <x:v>0</x:v>
      </x:c>
      <x:c r="G64" s="51" t="n">
        <x:v>25</x:v>
      </x:c>
      <x:c r="H64" s="51" t="n">
        <x:v>50</x:v>
      </x:c>
      <x:c r="I64" s="51" t="n">
        <x:v>0</x:v>
      </x:c>
      <x:c r="J64" s="51" t="n">
        <x:v>0</x:v>
      </x:c>
      <x:c r="K64" s="51" t="n">
        <x:v>0</x:v>
      </x:c>
      <x:c r="L64" s="51" t="str"/>
      <x:c r="M64" s="51" t="str"/>
      <x:c r="N64" s="39" t="str">
        <x:v>A wine-red moss that hangs in sheer curtains from shaded stone. It feels silky, smells of berries and damp iron, and stains water pink.</x:v>
      </x:c>
    </x:row>
    <x:row r="65">
      <x:c r="A65" s="38" t="str">
        <x:v>Core</x:v>
      </x:c>
      <x:c r="B65" s="51" t="str">
        <x:v>Moss / Lichen</x:v>
      </x:c>
      <x:c r="C65" s="51" t="str">
        <x:v>Uncommon</x:v>
      </x:c>
      <x:c r="D65" s="51" t="str">
        <x:v>Wardmoss</x:v>
      </x:c>
      <x:c r="E65" s="51" t="n">
        <x:v>2</x:v>
      </x:c>
      <x:c r="F65" s="51" t="n">
        <x:v>0</x:v>
      </x:c>
      <x:c r="G65" s="51" t="n">
        <x:v>75</x:v>
      </x:c>
      <x:c r="H65" s="51" t="n">
        <x:v>0</x:v>
      </x:c>
      <x:c r="I65" s="51" t="n">
        <x:v>0</x:v>
      </x:c>
      <x:c r="J65" s="51" t="n">
        <x:v>0</x:v>
      </x:c>
      <x:c r="K65" s="51" t="n">
        <x:v>0</x:v>
      </x:c>
      <x:c r="L65" s="51" t="str"/>
      <x:c r="M65" s="51" t="str"/>
      <x:c r="N65" s="39" t="str">
        <x:v>Dense blue-green moss that curls inward when touched. Its scent is clean and cold, like a cellar spring running over slate.</x:v>
      </x:c>
    </x:row>
    <x:row r="66">
      <x:c r="A66" s="38" t="str">
        <x:v>Core</x:v>
      </x:c>
      <x:c r="B66" s="51" t="str">
        <x:v>Moss / Lichen</x:v>
      </x:c>
      <x:c r="C66" s="51" t="str">
        <x:v>Rare</x:v>
      </x:c>
      <x:c r="D66" s="51" t="str">
        <x:v>Deepmoss Colony</x:v>
      </x:c>
      <x:c r="E66" s="51" t="n">
        <x:v>4</x:v>
      </x:c>
      <x:c r="F66" s="51" t="n">
        <x:v>0</x:v>
      </x:c>
      <x:c r="G66" s="51" t="n">
        <x:v>100</x:v>
      </x:c>
      <x:c r="H66" s="51" t="n">
        <x:v>0</x:v>
      </x:c>
      <x:c r="I66" s="51" t="n">
        <x:v>0</x:v>
      </x:c>
      <x:c r="J66" s="51" t="n">
        <x:v>0</x:v>
      </x:c>
      <x:c r="K66" s="51" t="n">
        <x:v>0</x:v>
      </x:c>
      <x:c r="L66" s="51" t="str"/>
      <x:c r="M66" s="51" t="str"/>
      <x:c r="N66" s="39" t="str">
        <x:v>A thick black-green moss with pale roots and cold dew in its folds. It smells of deep caves and ancient wood rot.</x:v>
      </x:c>
    </x:row>
    <x:row r="67">
      <x:c r="A67" s="38" t="str">
        <x:v>Core</x:v>
      </x:c>
      <x:c r="B67" s="51" t="str">
        <x:v>Moss / Lichen</x:v>
      </x:c>
      <x:c r="C67" s="51" t="str">
        <x:v>Rare</x:v>
      </x:c>
      <x:c r="D67" s="51" t="str">
        <x:v>Diamondvein Lichen</x:v>
      </x:c>
      <x:c r="E67" s="51" t="n">
        <x:v>4</x:v>
      </x:c>
      <x:c r="F67" s="51" t="n">
        <x:v>75</x:v>
      </x:c>
      <x:c r="G67" s="51" t="n">
        <x:v>25</x:v>
      </x:c>
      <x:c r="H67" s="51" t="n">
        <x:v>0</x:v>
      </x:c>
      <x:c r="I67" s="51" t="n">
        <x:v>0</x:v>
      </x:c>
      <x:c r="J67" s="51" t="n">
        <x:v>0</x:v>
      </x:c>
      <x:c r="K67" s="51" t="n">
        <x:v>0</x:v>
      </x:c>
      <x:c r="L67" s="51" t="str"/>
      <x:c r="M67" s="51" t="str"/>
      <x:c r="N67" s="39" t="str">
        <x:v>Dark lichen crossed by glittering crystal threads. It feels brittle until soaked and smells like rain striking quartz.</x:v>
      </x:c>
    </x:row>
    <x:row r="68">
      <x:c r="A68" s="38" t="str">
        <x:v>Core</x:v>
      </x:c>
      <x:c r="B68" s="51" t="str">
        <x:v>Moss / Lichen</x:v>
      </x:c>
      <x:c r="C68" s="51" t="str">
        <x:v>Rare</x:v>
      </x:c>
      <x:c r="D68" s="51" t="str">
        <x:v>Sporeveil Moss</x:v>
      </x:c>
      <x:c r="E68" s="51" t="n">
        <x:v>4</x:v>
      </x:c>
      <x:c r="F68" s="51" t="n">
        <x:v>0</x:v>
      </x:c>
      <x:c r="G68" s="51" t="n">
        <x:v>50</x:v>
      </x:c>
      <x:c r="H68" s="51" t="n">
        <x:v>50</x:v>
      </x:c>
      <x:c r="I68" s="51" t="n">
        <x:v>0</x:v>
      </x:c>
      <x:c r="J68" s="51" t="n">
        <x:v>0</x:v>
      </x:c>
      <x:c r="K68" s="51" t="n">
        <x:v>0</x:v>
      </x:c>
      <x:c r="L68" s="51" t="str"/>
      <x:c r="M68" s="51" t="str"/>
      <x:c r="N68" s="39" t="str">
        <x:v>Dark moss threaded with pale sacs that release a hovering mist when disturbed. It smells of wet wool, stone dust, and mild pepper.</x:v>
      </x:c>
    </x:row>
    <x:row r="69">
      <x:c r="A69" s="38" t="str">
        <x:v>Core</x:v>
      </x:c>
      <x:c r="B69" s="51" t="str">
        <x:v>Moss / Lichen</x:v>
      </x:c>
      <x:c r="C69" s="51" t="str">
        <x:v>Rare</x:v>
      </x:c>
      <x:c r="D69" s="51" t="str">
        <x:v>Whispermoss Colony</x:v>
      </x:c>
      <x:c r="E69" s="51" t="n">
        <x:v>4</x:v>
      </x:c>
      <x:c r="F69" s="51" t="n">
        <x:v>50</x:v>
      </x:c>
      <x:c r="G69" s="51" t="n">
        <x:v>0</x:v>
      </x:c>
      <x:c r="H69" s="51" t="n">
        <x:v>0</x:v>
      </x:c>
      <x:c r="I69" s="51" t="n">
        <x:v>1</x:v>
      </x:c>
      <x:c r="J69" s="51" t="n">
        <x:v>0</x:v>
      </x:c>
      <x:c r="K69" s="51" t="n">
        <x:v>0</x:v>
      </x:c>
      <x:c r="L69" s="51" t="str"/>
      <x:c r="M69" s="51" t="str"/>
      <x:c r="N69" s="39" t="str">
        <x:v>A thick bed of blue moss that rustles without wind. It feels cool and springy, smells of deep wells and cedar, and repeats nearby whispers as faint breath.</x:v>
      </x:c>
    </x:row>
    <x:row r="70">
      <x:c r="A70" s="38" t="str">
        <x:v>Core</x:v>
      </x:c>
      <x:c r="B70" s="51" t="str">
        <x:v>Moss / Lichen</x:v>
      </x:c>
      <x:c r="C70" s="51" t="str">
        <x:v>Very Rare</x:v>
      </x:c>
      <x:c r="D70" s="51" t="str">
        <x:v>Ageglass Lichen</x:v>
      </x:c>
      <x:c r="E70" s="51" t="n">
        <x:v>6</x:v>
      </x:c>
      <x:c r="F70" s="51" t="n">
        <x:v>75</x:v>
      </x:c>
      <x:c r="G70" s="51" t="n">
        <x:v>0</x:v>
      </x:c>
      <x:c r="H70" s="51" t="n">
        <x:v>0</x:v>
      </x:c>
      <x:c r="I70" s="51" t="n">
        <x:v>2</x:v>
      </x:c>
      <x:c r="J70" s="51" t="n">
        <x:v>0</x:v>
      </x:c>
      <x:c r="K70" s="51" t="n">
        <x:v>0</x:v>
      </x:c>
      <x:c r="L70" s="51" t="str"/>
      <x:c r="M70" s="51" t="str"/>
      <x:c r="N70" s="39" t="str">
        <x:v>A translucent lichen sheet like frosted glass. It crackles softly when bent and smells of old ruins, dust, and spring water.</x:v>
      </x:c>
    </x:row>
    <x:row r="71">
      <x:c r="A71" s="38" t="str">
        <x:v>Core</x:v>
      </x:c>
      <x:c r="B71" s="51" t="str">
        <x:v>Moss / Lichen</x:v>
      </x:c>
      <x:c r="C71" s="51" t="str">
        <x:v>Very Rare</x:v>
      </x:c>
      <x:c r="D71" s="51" t="str">
        <x:v>Crownstar Lichen</x:v>
      </x:c>
      <x:c r="E71" s="51" t="n">
        <x:v>6</x:v>
      </x:c>
      <x:c r="F71" s="51" t="n">
        <x:v>0</x:v>
      </x:c>
      <x:c r="G71" s="51" t="n">
        <x:v>50</x:v>
      </x:c>
      <x:c r="H71" s="51" t="n">
        <x:v>75</x:v>
      </x:c>
      <x:c r="I71" s="51" t="n">
        <x:v>0</x:v>
      </x:c>
      <x:c r="J71" s="51" t="n">
        <x:v>0</x:v>
      </x:c>
      <x:c r="K71" s="51" t="n">
        <x:v>0</x:v>
      </x:c>
      <x:c r="L71" s="51" t="str"/>
      <x:c r="M71" s="51" t="str"/>
      <x:c r="N71" s="39" t="str">
        <x:v>A many-pointed golden lichen that grows only on exposed peaks. It feels warm in sunlight, smells of clean ozone and alpine flowers, and glitters when breathed upon.</x:v>
      </x:c>
    </x:row>
    <x:row r="72">
      <x:c r="A72" s="38" t="str">
        <x:v>Core</x:v>
      </x:c>
      <x:c r="B72" s="51" t="str">
        <x:v>Moss / Lichen</x:v>
      </x:c>
      <x:c r="C72" s="51" t="str">
        <x:v>Very Rare</x:v>
      </x:c>
      <x:c r="D72" s="51" t="str">
        <x:v>Dreamwatch Lichen</x:v>
      </x:c>
      <x:c r="E72" s="51" t="n">
        <x:v>6</x:v>
      </x:c>
      <x:c r="F72" s="51" t="n">
        <x:v>125</x:v>
      </x:c>
      <x:c r="G72" s="51" t="n">
        <x:v>0</x:v>
      </x:c>
      <x:c r="H72" s="51" t="n">
        <x:v>0</x:v>
      </x:c>
      <x:c r="I72" s="51" t="n">
        <x:v>0</x:v>
      </x:c>
      <x:c r="J72" s="51" t="n">
        <x:v>0</x:v>
      </x:c>
      <x:c r="K72" s="51" t="n">
        <x:v>0</x:v>
      </x:c>
      <x:c r="L72" s="51" t="str"/>
      <x:c r="M72" s="51" t="str">
        <x:v>Fear, Mind, Psychic</x:v>
      </x:c>
      <x:c r="N72" s="39" t="str">
        <x:v>A soft violet lichen that grows in eye-shaped rings. It feels like damp velvet, smells of moonlit bark and cold air, and leaves a faint tingling behind the eyes.</x:v>
      </x:c>
    </x:row>
    <x:row r="73">
      <x:c r="A73" s="38" t="str">
        <x:v>Core</x:v>
      </x:c>
      <x:c r="B73" s="51" t="str">
        <x:v>Moss / Lichen</x:v>
      </x:c>
      <x:c r="C73" s="51" t="str">
        <x:v>Very Rare</x:v>
      </x:c>
      <x:c r="D73" s="51" t="str">
        <x:v>Starmoss</x:v>
      </x:c>
      <x:c r="E73" s="51" t="n">
        <x:v>6</x:v>
      </x:c>
      <x:c r="F73" s="51" t="n">
        <x:v>0</x:v>
      </x:c>
      <x:c r="G73" s="51" t="n">
        <x:v>125</x:v>
      </x:c>
      <x:c r="H73" s="51" t="n">
        <x:v>0</x:v>
      </x:c>
      <x:c r="I73" s="51" t="n">
        <x:v>0</x:v>
      </x:c>
      <x:c r="J73" s="51" t="n">
        <x:v>0</x:v>
      </x:c>
      <x:c r="K73" s="51" t="n">
        <x:v>0</x:v>
      </x:c>
      <x:c r="L73" s="51" t="str"/>
      <x:c r="M73" s="51" t="str"/>
      <x:c r="N73" s="39" t="str">
        <x:v>A silver-specked moss that glimmers in dim light. It smells of night air, clean stone, and the first rain after drought.</x:v>
      </x:c>
    </x:row>
    <x:row r="74">
      <x:c r="A74" s="38" t="str">
        <x:v>Core</x:v>
      </x:c>
      <x:c r="B74" s="51" t="str">
        <x:v>Flower</x:v>
      </x:c>
      <x:c r="C74" s="51" t="str">
        <x:v>Common</x:v>
      </x:c>
      <x:c r="D74" s="51" t="str">
        <x:v>Bluecup Flower</x:v>
      </x:c>
      <x:c r="E74" s="51" t="n">
        <x:v>0</x:v>
      </x:c>
      <x:c r="F74" s="51" t="n">
        <x:v>25</x:v>
      </x:c>
      <x:c r="G74" s="51" t="n">
        <x:v>0</x:v>
      </x:c>
      <x:c r="H74" s="51" t="n">
        <x:v>0</x:v>
      </x:c>
      <x:c r="I74" s="51" t="n">
        <x:v>0</x:v>
      </x:c>
      <x:c r="J74" s="51" t="n">
        <x:v>0</x:v>
      </x:c>
      <x:c r="K74" s="51" t="n">
        <x:v>0</x:v>
      </x:c>
      <x:c r="L74" s="51" t="str"/>
      <x:c r="M74" s="51" t="str"/>
      <x:c r="N74" s="39" t="str">
        <x:v>A small cobalt cup with a white throat and cool waxy petals. It smells of rain, green apple, and fresh-cut grass, leaving blue pollen on the nose.</x:v>
      </x:c>
    </x:row>
    <x:row r="75">
      <x:c r="A75" s="38" t="str">
        <x:v>Core</x:v>
      </x:c>
      <x:c r="B75" s="51" t="str">
        <x:v>Flower</x:v>
      </x:c>
      <x:c r="C75" s="51" t="str">
        <x:v>Common</x:v>
      </x:c>
      <x:c r="D75" s="51" t="str">
        <x:v>Field Bloom</x:v>
      </x:c>
      <x:c r="E75" s="51" t="n">
        <x:v>0</x:v>
      </x:c>
      <x:c r="F75" s="51" t="n">
        <x:v>25</x:v>
      </x:c>
      <x:c r="G75" s="51" t="n">
        <x:v>0</x:v>
      </x:c>
      <x:c r="H75" s="51" t="n">
        <x:v>0</x:v>
      </x:c>
      <x:c r="I75" s="51" t="n">
        <x:v>0</x:v>
      </x:c>
      <x:c r="J75" s="51" t="n">
        <x:v>0</x:v>
      </x:c>
      <x:c r="K75" s="51" t="n">
        <x:v>0</x:v>
      </x:c>
      <x:c r="L75" s="51" t="str"/>
      <x:c r="M75" s="51" t="str"/>
      <x:c r="N75" s="39" t="str">
        <x:v>A small yellow-white flower with soft pollen and a hay-sweet smell. Its petals bruise easily under the thumb.</x:v>
      </x:c>
    </x:row>
    <x:row r="76">
      <x:c r="A76" s="38" t="str">
        <x:v>Core</x:v>
      </x:c>
      <x:c r="B76" s="51" t="str">
        <x:v>Flower</x:v>
      </x:c>
      <x:c r="C76" s="51" t="str">
        <x:v>Common</x:v>
      </x:c>
      <x:c r="D76" s="51" t="str">
        <x:v>Goldthread Daisy</x:v>
      </x:c>
      <x:c r="E76" s="51" t="n">
        <x:v>0</x:v>
      </x:c>
      <x:c r="F76" s="51" t="n">
        <x:v>0</x:v>
      </x:c>
      <x:c r="G76" s="51" t="n">
        <x:v>25</x:v>
      </x:c>
      <x:c r="H76" s="51" t="n">
        <x:v>0</x:v>
      </x:c>
      <x:c r="I76" s="51" t="n">
        <x:v>0</x:v>
      </x:c>
      <x:c r="J76" s="51" t="n">
        <x:v>0</x:v>
      </x:c>
      <x:c r="K76" s="51" t="n">
        <x:v>0</x:v>
      </x:c>
      <x:c r="L76" s="51" t="str"/>
      <x:c r="M76" s="51" t="str"/>
      <x:c r="N76" s="39" t="str">
        <x:v>A white daisy crossed by hair-thin golden veins. Its petals feel papery and smell of chamomile, honey, and sun-warmed hay.</x:v>
      </x:c>
    </x:row>
    <x:row r="77">
      <x:c r="A77" s="38" t="str">
        <x:v>Core</x:v>
      </x:c>
      <x:c r="B77" s="51" t="str">
        <x:v>Flower</x:v>
      </x:c>
      <x:c r="C77" s="51" t="str">
        <x:v>Common</x:v>
      </x:c>
      <x:c r="D77" s="51" t="str">
        <x:v>Rainbell Flower</x:v>
      </x:c>
      <x:c r="E77" s="51" t="n">
        <x:v>0</x:v>
      </x:c>
      <x:c r="F77" s="51" t="n">
        <x:v>0</x:v>
      </x:c>
      <x:c r="G77" s="51" t="n">
        <x:v>25</x:v>
      </x:c>
      <x:c r="H77" s="51" t="n">
        <x:v>0</x:v>
      </x:c>
      <x:c r="I77" s="51" t="n">
        <x:v>0</x:v>
      </x:c>
      <x:c r="J77" s="51" t="n">
        <x:v>0</x:v>
      </x:c>
      <x:c r="K77" s="51" t="n">
        <x:v>0</x:v>
      </x:c>
      <x:c r="L77" s="51" t="str"/>
      <x:c r="M77" s="51" t="str"/>
      <x:c r="N77" s="39" t="str">
        <x:v>A small blue bell flower that holds a single clear droplet beneath each bloom. Its petals feel cool and waxy and smell of rainfall and cucumber peel.</x:v>
      </x:c>
    </x:row>
    <x:row r="78">
      <x:c r="A78" s="38" t="str">
        <x:v>Core</x:v>
      </x:c>
      <x:c r="B78" s="51" t="str">
        <x:v>Flower</x:v>
      </x:c>
      <x:c r="C78" s="51" t="str">
        <x:v>Common</x:v>
      </x:c>
      <x:c r="D78" s="51" t="str">
        <x:v>Whiteclover Star</x:v>
      </x:c>
      <x:c r="E78" s="51" t="n">
        <x:v>0</x:v>
      </x:c>
      <x:c r="F78" s="51" t="n">
        <x:v>0</x:v>
      </x:c>
      <x:c r="G78" s="51" t="n">
        <x:v>0</x:v>
      </x:c>
      <x:c r="H78" s="51" t="n">
        <x:v>25</x:v>
      </x:c>
      <x:c r="I78" s="51" t="n">
        <x:v>0</x:v>
      </x:c>
      <x:c r="J78" s="51" t="n">
        <x:v>0</x:v>
      </x:c>
      <x:c r="K78" s="51" t="n">
        <x:v>0</x:v>
      </x:c>
      <x:c r="L78" s="51" t="str"/>
      <x:c r="M78" s="51" t="str"/>
      <x:c r="N78" s="39" t="str">
        <x:v>A five-pointed white blossom growing above soft clover leaves. It smells of milk, sweet hay, and honey, with a faint grassy taste.</x:v>
      </x:c>
    </x:row>
    <x:row r="79">
      <x:c r="A79" s="38" t="str">
        <x:v>Core</x:v>
      </x:c>
      <x:c r="B79" s="51" t="str">
        <x:v>Flower</x:v>
      </x:c>
      <x:c r="C79" s="51" t="str">
        <x:v>Uncommon</x:v>
      </x:c>
      <x:c r="D79" s="51" t="str">
        <x:v>Ashen Rose</x:v>
      </x:c>
      <x:c r="E79" s="51" t="n">
        <x:v>2</x:v>
      </x:c>
      <x:c r="F79" s="51" t="n">
        <x:v>25</x:v>
      </x:c>
      <x:c r="G79" s="51" t="n">
        <x:v>0</x:v>
      </x:c>
      <x:c r="H79" s="51" t="n">
        <x:v>50</x:v>
      </x:c>
      <x:c r="I79" s="51" t="n">
        <x:v>0</x:v>
      </x:c>
      <x:c r="J79" s="51" t="n">
        <x:v>0</x:v>
      </x:c>
      <x:c r="K79" s="51" t="n">
        <x:v>0</x:v>
      </x:c>
      <x:c r="L79" s="51" t="str"/>
      <x:c r="M79" s="51" t="str"/>
      <x:c r="N79" s="39" t="str">
        <x:v>A charcoal-gray rose with ember-red edges. Its petals are warm and velvety, smelling of smoke, clove, and dark cherries.</x:v>
      </x:c>
    </x:row>
    <x:row r="80">
      <x:c r="A80" s="38" t="str">
        <x:v>Core</x:v>
      </x:c>
      <x:c r="B80" s="51" t="str">
        <x:v>Flower</x:v>
      </x:c>
      <x:c r="C80" s="51" t="str">
        <x:v>Uncommon</x:v>
      </x:c>
      <x:c r="D80" s="51" t="str">
        <x:v>Dreamlotus Bloom</x:v>
      </x:c>
      <x:c r="E80" s="51" t="n">
        <x:v>2</x:v>
      </x:c>
      <x:c r="F80" s="51" t="n">
        <x:v>25</x:v>
      </x:c>
      <x:c r="G80" s="51" t="n">
        <x:v>0</x:v>
      </x:c>
      <x:c r="H80" s="51" t="n">
        <x:v>0</x:v>
      </x:c>
      <x:c r="I80" s="51" t="n">
        <x:v>0</x:v>
      </x:c>
      <x:c r="J80" s="51" t="n">
        <x:v>1</x:v>
      </x:c>
      <x:c r="K80" s="51" t="n">
        <x:v>0</x:v>
      </x:c>
      <x:c r="L80" s="51" t="str"/>
      <x:c r="M80" s="51" t="str"/>
      <x:c r="N80" s="39" t="str">
        <x:v>A violet lotus with pollen that sparkles like sleep-dust. Its scent is sweet, heavy, and just sharp enough to make the eyes water.</x:v>
      </x:c>
    </x:row>
    <x:row r="81">
      <x:c r="A81" s="38" t="str">
        <x:v>Core</x:v>
      </x:c>
      <x:c r="B81" s="51" t="str">
        <x:v>Flower</x:v>
      </x:c>
      <x:c r="C81" s="51" t="str">
        <x:v>Uncommon</x:v>
      </x:c>
      <x:c r="D81" s="51" t="str">
        <x:v>Pollenburst Daisy</x:v>
      </x:c>
      <x:c r="E81" s="51" t="n">
        <x:v>2</x:v>
      </x:c>
      <x:c r="F81" s="51" t="n">
        <x:v>0</x:v>
      </x:c>
      <x:c r="G81" s="51" t="n">
        <x:v>0</x:v>
      </x:c>
      <x:c r="H81" s="51" t="n">
        <x:v>75</x:v>
      </x:c>
      <x:c r="I81" s="51" t="n">
        <x:v>0</x:v>
      </x:c>
      <x:c r="J81" s="51" t="n">
        <x:v>0</x:v>
      </x:c>
      <x:c r="K81" s="51" t="n">
        <x:v>0</x:v>
      </x:c>
      <x:c r="L81" s="51" t="str"/>
      <x:c r="M81" s="51" t="str"/>
      <x:c r="N81" s="39" t="str">
        <x:v>A bright yellow daisy with an oversized powdery center. A touch releases a golden puff that smells of citrus, dry grass, and pepper.</x:v>
      </x:c>
    </x:row>
    <x:row r="82">
      <x:c r="A82" s="38" t="str">
        <x:v>Core</x:v>
      </x:c>
      <x:c r="B82" s="51" t="str">
        <x:v>Flower</x:v>
      </x:c>
      <x:c r="C82" s="51" t="str">
        <x:v>Uncommon</x:v>
      </x:c>
      <x:c r="D82" s="51" t="str">
        <x:v>Sunmend Marigold</x:v>
      </x:c>
      <x:c r="E82" s="51" t="n">
        <x:v>2</x:v>
      </x:c>
      <x:c r="F82" s="51" t="n">
        <x:v>50</x:v>
      </x:c>
      <x:c r="G82" s="51" t="n">
        <x:v>25</x:v>
      </x:c>
      <x:c r="H82" s="51" t="n">
        <x:v>0</x:v>
      </x:c>
      <x:c r="I82" s="51" t="n">
        <x:v>0</x:v>
      </x:c>
      <x:c r="J82" s="51" t="n">
        <x:v>0</x:v>
      </x:c>
      <x:c r="K82" s="51" t="n">
        <x:v>0</x:v>
      </x:c>
      <x:c r="L82" s="51" t="str"/>
      <x:c r="M82" s="51" t="str"/>
      <x:c r="N82" s="39" t="str">
        <x:v>A bright orange blossom with warm petals and golden pollen. It smells of honey, cut grass, and clean bandages.</x:v>
      </x:c>
    </x:row>
    <x:row r="83">
      <x:c r="A83" s="38" t="str">
        <x:v>Core</x:v>
      </x:c>
      <x:c r="B83" s="51" t="str">
        <x:v>Flower</x:v>
      </x:c>
      <x:c r="C83" s="51" t="str">
        <x:v>Uncommon</x:v>
      </x:c>
      <x:c r="D83" s="51" t="str">
        <x:v>Whisperbell</x:v>
      </x:c>
      <x:c r="E83" s="51" t="n">
        <x:v>2</x:v>
      </x:c>
      <x:c r="F83" s="51" t="n">
        <x:v>0</x:v>
      </x:c>
      <x:c r="G83" s="51" t="n">
        <x:v>25</x:v>
      </x:c>
      <x:c r="H83" s="51" t="n">
        <x:v>0</x:v>
      </x:c>
      <x:c r="I83" s="51" t="n">
        <x:v>0</x:v>
      </x:c>
      <x:c r="J83" s="51" t="n">
        <x:v>1</x:v>
      </x:c>
      <x:c r="K83" s="51" t="n">
        <x:v>0</x:v>
      </x:c>
      <x:c r="L83" s="51" t="str"/>
      <x:c r="M83" s="51" t="str"/>
      <x:c r="N83" s="39" t="str">
        <x:v>A pale lilac bell flower whose petals tremble near spoken words. It smells of violets and cool dust and gives a faint chiming note when plucked.</x:v>
      </x:c>
    </x:row>
    <x:row r="84">
      <x:c r="A84" s="38" t="str">
        <x:v>Core</x:v>
      </x:c>
      <x:c r="B84" s="51" t="str">
        <x:v>Flower</x:v>
      </x:c>
      <x:c r="C84" s="51" t="str">
        <x:v>Rare</x:v>
      </x:c>
      <x:c r="D84" s="51" t="str">
        <x:v>Fey Orchid</x:v>
      </x:c>
      <x:c r="E84" s="51" t="n">
        <x:v>4</x:v>
      </x:c>
      <x:c r="F84" s="51" t="n">
        <x:v>50</x:v>
      </x:c>
      <x:c r="G84" s="51" t="n">
        <x:v>0</x:v>
      </x:c>
      <x:c r="H84" s="51" t="n">
        <x:v>0</x:v>
      </x:c>
      <x:c r="I84" s="51" t="n">
        <x:v>0</x:v>
      </x:c>
      <x:c r="J84" s="51" t="n">
        <x:v>1</x:v>
      </x:c>
      <x:c r="K84" s="51" t="n">
        <x:v>0</x:v>
      </x:c>
      <x:c r="L84" s="51" t="str"/>
      <x:c r="M84" s="51" t="str">
        <x:v>Charm, Fey, Mind</x:v>
      </x:c>
      <x:c r="N84" s="39" t="str">
        <x:v>A twisting orchid with blue-pink petals and luminous veins. It smells beautiful at first, then strange, like perfume from a dream.</x:v>
      </x:c>
    </x:row>
    <x:row r="85">
      <x:c r="A85" s="38" t="str">
        <x:v>Core</x:v>
      </x:c>
      <x:c r="B85" s="51" t="str">
        <x:v>Flower</x:v>
      </x:c>
      <x:c r="C85" s="51" t="str">
        <x:v>Rare</x:v>
      </x:c>
      <x:c r="D85" s="51" t="str">
        <x:v>Moonrose</x:v>
      </x:c>
      <x:c r="E85" s="51" t="n">
        <x:v>4</x:v>
      </x:c>
      <x:c r="F85" s="51" t="n">
        <x:v>0</x:v>
      </x:c>
      <x:c r="G85" s="51" t="n">
        <x:v>50</x:v>
      </x:c>
      <x:c r="H85" s="51" t="n">
        <x:v>0</x:v>
      </x:c>
      <x:c r="I85" s="51" t="n">
        <x:v>0</x:v>
      </x:c>
      <x:c r="J85" s="51" t="n">
        <x:v>1</x:v>
      </x:c>
      <x:c r="K85" s="51" t="n">
        <x:v>0</x:v>
      </x:c>
      <x:c r="L85" s="51" t="str"/>
      <x:c r="M85" s="51" t="str"/>
      <x:c r="N85" s="39" t="str">
        <x:v>A pale lavender rose whose petals darken under direct sunlight. Its scent is cool, floral, and slightly metallic, lingering on the tongue like mint.</x:v>
      </x:c>
    </x:row>
    <x:row r="86">
      <x:c r="A86" s="38" t="str">
        <x:v>Core</x:v>
      </x:c>
      <x:c r="B86" s="51" t="str">
        <x:v>Flower</x:v>
      </x:c>
      <x:c r="C86" s="51" t="str">
        <x:v>Rare</x:v>
      </x:c>
      <x:c r="D86" s="51" t="str">
        <x:v>Starwake Orchid</x:v>
      </x:c>
      <x:c r="E86" s="51" t="n">
        <x:v>4</x:v>
      </x:c>
      <x:c r="F86" s="51" t="n">
        <x:v>50</x:v>
      </x:c>
      <x:c r="G86" s="51" t="n">
        <x:v>50</x:v>
      </x:c>
      <x:c r="H86" s="51" t="n">
        <x:v>0</x:v>
      </x:c>
      <x:c r="I86" s="51" t="n">
        <x:v>0</x:v>
      </x:c>
      <x:c r="J86" s="51" t="n">
        <x:v>0</x:v>
      </x:c>
      <x:c r="K86" s="51" t="n">
        <x:v>0</x:v>
      </x:c>
      <x:c r="L86" s="51" t="str"/>
      <x:c r="M86" s="51" t="str"/>
      <x:c r="N86" s="39" t="str">
        <x:v>A deep blue orchid speckled like a night sky. Its petals feel cool and slick, smell of jasmine and ozone, and open only beneath starlight.</x:v>
      </x:c>
    </x:row>
    <x:row r="87">
      <x:c r="A87" s="38" t="str">
        <x:v>Core</x:v>
      </x:c>
      <x:c r="B87" s="51" t="str">
        <x:v>Flower</x:v>
      </x:c>
      <x:c r="C87" s="51" t="str">
        <x:v>Rare</x:v>
      </x:c>
      <x:c r="D87" s="51" t="str">
        <x:v>Thunderbell Blossom</x:v>
      </x:c>
      <x:c r="E87" s="51" t="n">
        <x:v>4</x:v>
      </x:c>
      <x:c r="F87" s="51" t="n">
        <x:v>75</x:v>
      </x:c>
      <x:c r="G87" s="51" t="n">
        <x:v>0</x:v>
      </x:c>
      <x:c r="H87" s="51" t="n">
        <x:v>25</x:v>
      </x:c>
      <x:c r="I87" s="51" t="n">
        <x:v>0</x:v>
      </x:c>
      <x:c r="J87" s="51" t="n">
        <x:v>0</x:v>
      </x:c>
      <x:c r="K87" s="51" t="n">
        <x:v>0</x:v>
      </x:c>
      <x:c r="L87" s="51" t="str"/>
      <x:c r="M87" s="51" t="str">
        <x:v>Thunder, Sound</x:v>
      </x:c>
      <x:c r="N87" s="39" t="str">
        <x:v>A bell-shaped purple flower that trembles near loud sounds. It smells of rain, copper, and crushed petals.</x:v>
      </x:c>
    </x:row>
    <x:row r="88">
      <x:c r="A88" s="38" t="str">
        <x:v>Core</x:v>
      </x:c>
      <x:c r="B88" s="51" t="str">
        <x:v>Flower</x:v>
      </x:c>
      <x:c r="C88" s="51" t="str">
        <x:v>Very Rare</x:v>
      </x:c>
      <x:c r="D88" s="51" t="str">
        <x:v>Halo Lily</x:v>
      </x:c>
      <x:c r="E88" s="51" t="n">
        <x:v>6</x:v>
      </x:c>
      <x:c r="F88" s="51" t="n">
        <x:v>125</x:v>
      </x:c>
      <x:c r="G88" s="51" t="n">
        <x:v>0</x:v>
      </x:c>
      <x:c r="H88" s="51" t="n">
        <x:v>0</x:v>
      </x:c>
      <x:c r="I88" s="51" t="n">
        <x:v>0</x:v>
      </x:c>
      <x:c r="J88" s="51" t="n">
        <x:v>0</x:v>
      </x:c>
      <x:c r="K88" s="51" t="n">
        <x:v>0</x:v>
      </x:c>
      <x:c r="L88" s="51" t="str"/>
      <x:c r="M88" s="51" t="str">
        <x:v>Radiant, Holy</x:v>
      </x:c>
      <x:c r="N88" s="39" t="str">
        <x:v>A white lily with a ring of gold light at the throat. It smells of lilies, sun-warmed linen, and faint temple incense.</x:v>
      </x:c>
    </x:row>
    <x:row r="89">
      <x:c r="A89" s="38" t="str">
        <x:v>Core</x:v>
      </x:c>
      <x:c r="B89" s="51" t="str">
        <x:v>Flower</x:v>
      </x:c>
      <x:c r="C89" s="51" t="str">
        <x:v>Very Rare</x:v>
      </x:c>
      <x:c r="D89" s="51" t="str">
        <x:v>Oracle Lotus</x:v>
      </x:c>
      <x:c r="E89" s="51" t="n">
        <x:v>6</x:v>
      </x:c>
      <x:c r="F89" s="51" t="n">
        <x:v>25</x:v>
      </x:c>
      <x:c r="G89" s="51" t="n">
        <x:v>0</x:v>
      </x:c>
      <x:c r="H89" s="51" t="n">
        <x:v>0</x:v>
      </x:c>
      <x:c r="I89" s="51" t="n">
        <x:v>0</x:v>
      </x:c>
      <x:c r="J89" s="51" t="n">
        <x:v>0</x:v>
      </x:c>
      <x:c r="K89" s="51" t="n">
        <x:v>1</x:v>
      </x:c>
      <x:c r="L89" s="51" t="str"/>
      <x:c r="M89" s="51" t="str"/>
      <x:c r="N89" s="39" t="str">
        <x:v>A luminous white lotus with a shifting violet center. It smells differently to each observer—often incense, rain, or childhood flowers—and its pollen sparkles in the air.</x:v>
      </x:c>
    </x:row>
    <x:row r="90">
      <x:c r="A90" s="38" t="str">
        <x:v>Core</x:v>
      </x:c>
      <x:c r="B90" s="51" t="str">
        <x:v>Flower</x:v>
      </x:c>
      <x:c r="C90" s="51" t="str">
        <x:v>Very Rare</x:v>
      </x:c>
      <x:c r="D90" s="51" t="str">
        <x:v>Queen's Dreamlotus</x:v>
      </x:c>
      <x:c r="E90" s="51" t="n">
        <x:v>6</x:v>
      </x:c>
      <x:c r="F90" s="51" t="n">
        <x:v>25</x:v>
      </x:c>
      <x:c r="G90" s="51" t="n">
        <x:v>0</x:v>
      </x:c>
      <x:c r="H90" s="51" t="n">
        <x:v>0</x:v>
      </x:c>
      <x:c r="I90" s="51" t="n">
        <x:v>0</x:v>
      </x:c>
      <x:c r="J90" s="51" t="n">
        <x:v>3</x:v>
      </x:c>
      <x:c r="K90" s="51" t="n">
        <x:v>0</x:v>
      </x:c>
      <x:c r="L90" s="51" t="str"/>
      <x:c r="M90" s="51" t="str"/>
      <x:c r="N90" s="39" t="str">
        <x:v>A midnight lotus with silver pollen and petals soft as velvet. Its fragrance is intoxicating, royal, and difficult to forget.</x:v>
      </x:c>
    </x:row>
    <x:row r="91">
      <x:c r="A91" s="38" t="str">
        <x:v>Core</x:v>
      </x:c>
      <x:c r="B91" s="51" t="str">
        <x:v>Flower</x:v>
      </x:c>
      <x:c r="C91" s="51" t="str">
        <x:v>Very Rare</x:v>
      </x:c>
      <x:c r="D91" s="51" t="str">
        <x:v>Starseer Lily</x:v>
      </x:c>
      <x:c r="E91" s="51" t="n">
        <x:v>6</x:v>
      </x:c>
      <x:c r="F91" s="51" t="n">
        <x:v>75</x:v>
      </x:c>
      <x:c r="G91" s="51" t="n">
        <x:v>0</x:v>
      </x:c>
      <x:c r="H91" s="51" t="n">
        <x:v>0</x:v>
      </x:c>
      <x:c r="I91" s="51" t="n">
        <x:v>0</x:v>
      </x:c>
      <x:c r="J91" s="51" t="n">
        <x:v>2</x:v>
      </x:c>
      <x:c r="K91" s="51" t="n">
        <x:v>0</x:v>
      </x:c>
      <x:c r="L91" s="51" t="str"/>
      <x:c r="M91" s="51" t="str"/>
      <x:c r="N91" s="39" t="str">
        <x:v>A deep indigo lily flecked with tiny silver specks. Its petals feel cool as glass, and its fragrance shifts between lavender, candle smoke, and distant rain.</x:v>
      </x:c>
    </x:row>
    <x:row r="92">
      <x:c r="A92" s="38" t="str">
        <x:v>Core</x:v>
      </x:c>
      <x:c r="B92" s="51" t="str">
        <x:v>Leaf / Vine</x:v>
      </x:c>
      <x:c r="C92" s="51" t="str">
        <x:v>Common</x:v>
      </x:c>
      <x:c r="D92" s="51" t="str">
        <x:v>Bluecurl Leaf</x:v>
      </x:c>
      <x:c r="E92" s="51" t="n">
        <x:v>0</x:v>
      </x:c>
      <x:c r="F92" s="51" t="n">
        <x:v>25</x:v>
      </x:c>
      <x:c r="G92" s="51" t="n">
        <x:v>0</x:v>
      </x:c>
      <x:c r="H92" s="51" t="n">
        <x:v>0</x:v>
      </x:c>
      <x:c r="I92" s="51" t="n">
        <x:v>0</x:v>
      </x:c>
      <x:c r="J92" s="51" t="n">
        <x:v>0</x:v>
      </x:c>
      <x:c r="K92" s="51" t="n">
        <x:v>0</x:v>
      </x:c>
      <x:c r="L92" s="51" t="str"/>
      <x:c r="M92" s="51" t="str"/>
      <x:c r="N92" s="39" t="str">
        <x:v>A narrow blue-green leaf curled into a loose spiral. It is crisp, tastes of mint and celery, and smells of cold wind through grass.</x:v>
      </x:c>
    </x:row>
    <x:row r="93">
      <x:c r="A93" s="38" t="str">
        <x:v>Core</x:v>
      </x:c>
      <x:c r="B93" s="51" t="str">
        <x:v>Leaf / Vine</x:v>
      </x:c>
      <x:c r="C93" s="51" t="str">
        <x:v>Common</x:v>
      </x:c>
      <x:c r="D93" s="51" t="str">
        <x:v>Curlvine Tendril</x:v>
      </x:c>
      <x:c r="E93" s="51" t="n">
        <x:v>0</x:v>
      </x:c>
      <x:c r="F93" s="51" t="n">
        <x:v>25</x:v>
      </x:c>
      <x:c r="G93" s="51" t="n">
        <x:v>0</x:v>
      </x:c>
      <x:c r="H93" s="51" t="n">
        <x:v>0</x:v>
      </x:c>
      <x:c r="I93" s="51" t="n">
        <x:v>0</x:v>
      </x:c>
      <x:c r="J93" s="51" t="n">
        <x:v>0</x:v>
      </x:c>
      <x:c r="K93" s="51" t="n">
        <x:v>0</x:v>
      </x:c>
      <x:c r="L93" s="51" t="str"/>
      <x:c r="M93" s="51" t="str"/>
      <x:c r="N93" s="39" t="str">
        <x:v>A green tendril coiled like a watch spring. It grips warm skin gently, smells of cucumber and wet rope, and tastes sharply herbal.</x:v>
      </x:c>
    </x:row>
    <x:row r="94">
      <x:c r="A94" s="38" t="str">
        <x:v>Core</x:v>
      </x:c>
      <x:c r="B94" s="51" t="str">
        <x:v>Leaf / Vine</x:v>
      </x:c>
      <x:c r="C94" s="51" t="str">
        <x:v>Common</x:v>
      </x:c>
      <x:c r="D94" s="51" t="str">
        <x:v>Greenleaf</x:v>
      </x:c>
      <x:c r="E94" s="51" t="n">
        <x:v>0</x:v>
      </x:c>
      <x:c r="F94" s="51" t="n">
        <x:v>0</x:v>
      </x:c>
      <x:c r="G94" s="51" t="n">
        <x:v>25</x:v>
      </x:c>
      <x:c r="H94" s="51" t="n">
        <x:v>0</x:v>
      </x:c>
      <x:c r="I94" s="51" t="n">
        <x:v>0</x:v>
      </x:c>
      <x:c r="J94" s="51" t="n">
        <x:v>0</x:v>
      </x:c>
      <x:c r="K94" s="51" t="n">
        <x:v>0</x:v>
      </x:c>
      <x:c r="L94" s="51" t="str"/>
      <x:c r="M94" s="51" t="str"/>
      <x:c r="N94" s="39" t="str">
        <x:v>A crisp green leaf with pale veins and a fresh snap. It smells grassy, peppery, and clean.</x:v>
      </x:c>
    </x:row>
    <x:row r="95">
      <x:c r="A95" s="38" t="str">
        <x:v>Core</x:v>
      </x:c>
      <x:c r="B95" s="51" t="str">
        <x:v>Leaf / Vine</x:v>
      </x:c>
      <x:c r="C95" s="51" t="str">
        <x:v>Common</x:v>
      </x:c>
      <x:c r="D95" s="51" t="str">
        <x:v>Silvergrass Blade</x:v>
      </x:c>
      <x:c r="E95" s="51" t="n">
        <x:v>0</x:v>
      </x:c>
      <x:c r="F95" s="51" t="n">
        <x:v>0</x:v>
      </x:c>
      <x:c r="G95" s="51" t="n">
        <x:v>25</x:v>
      </x:c>
      <x:c r="H95" s="51" t="n">
        <x:v>0</x:v>
      </x:c>
      <x:c r="I95" s="51" t="n">
        <x:v>0</x:v>
      </x:c>
      <x:c r="J95" s="51" t="n">
        <x:v>0</x:v>
      </x:c>
      <x:c r="K95" s="51" t="n">
        <x:v>0</x:v>
      </x:c>
      <x:c r="L95" s="51" t="str"/>
      <x:c r="M95" s="51" t="str"/>
      <x:c r="N95" s="39" t="str">
        <x:v>A long grass blade with a silver underside and razor-fine edge. It feels cool and springy, smells of lemon peel and open fields, and hums in a breeze.</x:v>
      </x:c>
    </x:row>
    <x:row r="96">
      <x:c r="A96" s="38" t="str">
        <x:v>Core</x:v>
      </x:c>
      <x:c r="B96" s="51" t="str">
        <x:v>Leaf / Vine</x:v>
      </x:c>
      <x:c r="C96" s="51" t="str">
        <x:v>Common</x:v>
      </x:c>
      <x:c r="D96" s="51" t="str">
        <x:v>Stonevine Sprig</x:v>
      </x:c>
      <x:c r="E96" s="51" t="n">
        <x:v>0</x:v>
      </x:c>
      <x:c r="F96" s="51" t="n">
        <x:v>0</x:v>
      </x:c>
      <x:c r="G96" s="51" t="n">
        <x:v>0</x:v>
      </x:c>
      <x:c r="H96" s="51" t="n">
        <x:v>25</x:v>
      </x:c>
      <x:c r="I96" s="51" t="n">
        <x:v>0</x:v>
      </x:c>
      <x:c r="J96" s="51" t="n">
        <x:v>0</x:v>
      </x:c>
      <x:c r="K96" s="51" t="n">
        <x:v>0</x:v>
      </x:c>
      <x:c r="L96" s="51" t="str"/>
      <x:c r="M96" s="51" t="str"/>
      <x:c r="N96" s="39" t="str">
        <x:v>A gray vine segment with rough bark and flexible silver fibers inside. It smells of crushed ivy, limestone, and rain-dark wood.</x:v>
      </x:c>
    </x:row>
    <x:row r="97">
      <x:c r="A97" s="38" t="str">
        <x:v>Core</x:v>
      </x:c>
      <x:c r="B97" s="51" t="str">
        <x:v>Leaf / Vine</x:v>
      </x:c>
      <x:c r="C97" s="51" t="str">
        <x:v>Uncommon</x:v>
      </x:c>
      <x:c r="D97" s="51" t="str">
        <x:v>Breathvine</x:v>
      </x:c>
      <x:c r="E97" s="51" t="n">
        <x:v>2</x:v>
      </x:c>
      <x:c r="F97" s="51" t="n">
        <x:v>25</x:v>
      </x:c>
      <x:c r="G97" s="51" t="n">
        <x:v>50</x:v>
      </x:c>
      <x:c r="H97" s="51" t="n">
        <x:v>0</x:v>
      </x:c>
      <x:c r="I97" s="51" t="n">
        <x:v>0</x:v>
      </x:c>
      <x:c r="J97" s="51" t="n">
        <x:v>0</x:v>
      </x:c>
      <x:c r="K97" s="51" t="n">
        <x:v>0</x:v>
      </x:c>
      <x:c r="L97" s="51" t="str"/>
      <x:c r="M97" s="51" t="str"/>
      <x:c r="N97" s="39" t="str">
        <x:v>A hollow blue vine that slowly inflates and deflates after cutting. It smells of mint, salt air, and clean water, with a cool vapor inside.</x:v>
      </x:c>
    </x:row>
    <x:row r="98">
      <x:c r="A98" s="38" t="str">
        <x:v>Core</x:v>
      </x:c>
      <x:c r="B98" s="51" t="str">
        <x:v>Leaf / Vine</x:v>
      </x:c>
      <x:c r="C98" s="51" t="str">
        <x:v>Uncommon</x:v>
      </x:c>
      <x:c r="D98" s="51" t="str">
        <x:v>Gripsap Vine</x:v>
      </x:c>
      <x:c r="E98" s="51" t="n">
        <x:v>2</x:v>
      </x:c>
      <x:c r="F98" s="51" t="n">
        <x:v>0</x:v>
      </x:c>
      <x:c r="G98" s="51" t="n">
        <x:v>75</x:v>
      </x:c>
      <x:c r="H98" s="51" t="n">
        <x:v>0</x:v>
      </x:c>
      <x:c r="I98" s="51" t="n">
        <x:v>0</x:v>
      </x:c>
      <x:c r="J98" s="51" t="n">
        <x:v>0</x:v>
      </x:c>
      <x:c r="K98" s="51" t="n">
        <x:v>0</x:v>
      </x:c>
      <x:c r="L98" s="51" t="str"/>
      <x:c r="M98" s="51" t="str"/>
      <x:c r="N98" s="39" t="str">
        <x:v>A sticky vine cutting with tiny gripping hairs along the stem. It smells of green sap, wet rope, and crushed nettle.</x:v>
      </x:c>
    </x:row>
    <x:row r="99">
      <x:c r="A99" s="38" t="str">
        <x:v>Core</x:v>
      </x:c>
      <x:c r="B99" s="51" t="str">
        <x:v>Leaf / Vine</x:v>
      </x:c>
      <x:c r="C99" s="51" t="str">
        <x:v>Uncommon</x:v>
      </x:c>
      <x:c r="D99" s="51" t="str">
        <x:v>Hawkstep Leaf</x:v>
      </x:c>
      <x:c r="E99" s="51" t="n">
        <x:v>2</x:v>
      </x:c>
      <x:c r="F99" s="51" t="n">
        <x:v>0</x:v>
      </x:c>
      <x:c r="G99" s="51" t="n">
        <x:v>25</x:v>
      </x:c>
      <x:c r="H99" s="51" t="n">
        <x:v>50</x:v>
      </x:c>
      <x:c r="I99" s="51" t="n">
        <x:v>0</x:v>
      </x:c>
      <x:c r="J99" s="51" t="n">
        <x:v>0</x:v>
      </x:c>
      <x:c r="K99" s="51" t="n">
        <x:v>0</x:v>
      </x:c>
      <x:c r="L99" s="51" t="str"/>
      <x:c r="M99" s="51" t="str"/>
      <x:c r="N99" s="39" t="str">
        <x:v>A narrow bronze-green leaf marked like a bird's talon. It is dry and crisp, smells of sage and hot stone, and tingles against the soles.</x:v>
      </x:c>
    </x:row>
    <x:row r="100">
      <x:c r="A100" s="38" t="str">
        <x:v>Core</x:v>
      </x:c>
      <x:c r="B100" s="51" t="str">
        <x:v>Leaf / Vine</x:v>
      </x:c>
      <x:c r="C100" s="51" t="str">
        <x:v>Uncommon</x:v>
      </x:c>
      <x:c r="D100" s="51" t="str">
        <x:v>Swiftleaf</x:v>
      </x:c>
      <x:c r="E100" s="51" t="n">
        <x:v>2</x:v>
      </x:c>
      <x:c r="F100" s="51" t="n">
        <x:v>75</x:v>
      </x:c>
      <x:c r="G100" s="51" t="n">
        <x:v>0</x:v>
      </x:c>
      <x:c r="H100" s="51" t="n">
        <x:v>0</x:v>
      </x:c>
      <x:c r="I100" s="51" t="n">
        <x:v>0</x:v>
      </x:c>
      <x:c r="J100" s="51" t="n">
        <x:v>0</x:v>
      </x:c>
      <x:c r="K100" s="51" t="n">
        <x:v>0</x:v>
      </x:c>
      <x:c r="L100" s="51" t="str"/>
      <x:c r="M100" s="51" t="str"/>
      <x:c r="N100" s="39" t="str">
        <x:v>A narrow leaf that curls and uncurls when touched. Its scent is sharp, minty, and wakeful.</x:v>
      </x:c>
    </x:row>
    <x:row r="101">
      <x:c r="A101" s="38" t="str">
        <x:v>Core</x:v>
      </x:c>
      <x:c r="B101" s="51" t="str">
        <x:v>Leaf / Vine</x:v>
      </x:c>
      <x:c r="C101" s="51" t="str">
        <x:v>Uncommon</x:v>
      </x:c>
      <x:c r="D101" s="51" t="str">
        <x:v>Twinfrond</x:v>
      </x:c>
      <x:c r="E101" s="51" t="n">
        <x:v>2</x:v>
      </x:c>
      <x:c r="F101" s="51" t="n">
        <x:v>50</x:v>
      </x:c>
      <x:c r="G101" s="51" t="n">
        <x:v>25</x:v>
      </x:c>
      <x:c r="H101" s="51" t="n">
        <x:v>0</x:v>
      </x:c>
      <x:c r="I101" s="51" t="n">
        <x:v>0</x:v>
      </x:c>
      <x:c r="J101" s="51" t="n">
        <x:v>0</x:v>
      </x:c>
      <x:c r="K101" s="51" t="n">
        <x:v>0</x:v>
      </x:c>
      <x:c r="L101" s="51" t="str"/>
      <x:c r="M101" s="51" t="str"/>
      <x:c r="N101" s="39" t="str">
        <x:v>Two mirrored fern fronds grow from a single copper stem. Their surfaces feel silky and smell of green tea, damp bark, and faint citrus.</x:v>
      </x:c>
    </x:row>
    <x:row r="102">
      <x:c r="A102" s="38" t="str">
        <x:v>Core</x:v>
      </x:c>
      <x:c r="B102" s="51" t="str">
        <x:v>Leaf / Vine</x:v>
      </x:c>
      <x:c r="C102" s="51" t="str">
        <x:v>Rare</x:v>
      </x:c>
      <x:c r="D102" s="51" t="str">
        <x:v>Moonsilver Fern</x:v>
      </x:c>
      <x:c r="E102" s="51" t="n">
        <x:v>4</x:v>
      </x:c>
      <x:c r="F102" s="51" t="n">
        <x:v>75</x:v>
      </x:c>
      <x:c r="G102" s="51" t="n">
        <x:v>25</x:v>
      </x:c>
      <x:c r="H102" s="51" t="n">
        <x:v>0</x:v>
      </x:c>
      <x:c r="I102" s="51" t="n">
        <x:v>0</x:v>
      </x:c>
      <x:c r="J102" s="51" t="n">
        <x:v>0</x:v>
      </x:c>
      <x:c r="K102" s="51" t="n">
        <x:v>0</x:v>
      </x:c>
      <x:c r="L102" s="51" t="str"/>
      <x:c r="M102" s="51" t="str"/>
      <x:c r="N102" s="39" t="str">
        <x:v>A silver-edged fern with cool dew collecting on the fronds. It smells of moonlit grass and clean water.</x:v>
      </x:c>
    </x:row>
    <x:row r="103">
      <x:c r="A103" s="38" t="str">
        <x:v>Core</x:v>
      </x:c>
      <x:c r="B103" s="51" t="str">
        <x:v>Leaf / Vine</x:v>
      </x:c>
      <x:c r="C103" s="51" t="str">
        <x:v>Rare</x:v>
      </x:c>
      <x:c r="D103" s="51" t="str">
        <x:v>Skyreach Vine</x:v>
      </x:c>
      <x:c r="E103" s="51" t="n">
        <x:v>4</x:v>
      </x:c>
      <x:c r="F103" s="51" t="n">
        <x:v>0</x:v>
      </x:c>
      <x:c r="G103" s="51" t="n">
        <x:v>100</x:v>
      </x:c>
      <x:c r="H103" s="51" t="n">
        <x:v>0</x:v>
      </x:c>
      <x:c r="I103" s="51" t="n">
        <x:v>0</x:v>
      </x:c>
      <x:c r="J103" s="51" t="n">
        <x:v>0</x:v>
      </x:c>
      <x:c r="K103" s="51" t="n">
        <x:v>0</x:v>
      </x:c>
      <x:c r="L103" s="51" t="str"/>
      <x:c r="M103" s="51" t="str"/>
      <x:c r="N103" s="39" t="str">
        <x:v>A long pale vine that seems lighter than it should be. It smells of rain-washed leaves and high wind.</x:v>
      </x:c>
    </x:row>
    <x:row r="104">
      <x:c r="A104" s="38" t="str">
        <x:v>Core</x:v>
      </x:c>
      <x:c r="B104" s="51" t="str">
        <x:v>Leaf / Vine</x:v>
      </x:c>
      <x:c r="C104" s="51" t="str">
        <x:v>Rare</x:v>
      </x:c>
      <x:c r="D104" s="51" t="str">
        <x:v>Stormrunner Fern</x:v>
      </x:c>
      <x:c r="E104" s="51" t="n">
        <x:v>4</x:v>
      </x:c>
      <x:c r="F104" s="51" t="n">
        <x:v>50</x:v>
      </x:c>
      <x:c r="G104" s="51" t="n">
        <x:v>0</x:v>
      </x:c>
      <x:c r="H104" s="51" t="n">
        <x:v>50</x:v>
      </x:c>
      <x:c r="I104" s="51" t="n">
        <x:v>0</x:v>
      </x:c>
      <x:c r="J104" s="51" t="n">
        <x:v>0</x:v>
      </x:c>
      <x:c r="K104" s="51" t="n">
        <x:v>0</x:v>
      </x:c>
      <x:c r="L104" s="51" t="str"/>
      <x:c r="M104" s="51" t="str">
        <x:v>Stunning, Lightning, Thunder</x:v>
      </x:c>
      <x:c r="N104" s="39" t="str">
        <x:v>A copper fern whose fronds snap toward distant thunder. It feels electrically warm, smells of rain and crushed pepper, and raises the hair on the arm.</x:v>
      </x:c>
    </x:row>
    <x:row r="105">
      <x:c r="A105" s="38" t="str">
        <x:v>Core</x:v>
      </x:c>
      <x:c r="B105" s="51" t="str">
        <x:v>Leaf / Vine</x:v>
      </x:c>
      <x:c r="C105" s="51" t="str">
        <x:v>Rare</x:v>
      </x:c>
      <x:c r="D105" s="51" t="str">
        <x:v>Windlace Vine</x:v>
      </x:c>
      <x:c r="E105" s="51" t="n">
        <x:v>4</x:v>
      </x:c>
      <x:c r="F105" s="51" t="n">
        <x:v>0</x:v>
      </x:c>
      <x:c r="G105" s="51" t="n">
        <x:v>50</x:v>
      </x:c>
      <x:c r="H105" s="51" t="n">
        <x:v>50</x:v>
      </x:c>
      <x:c r="I105" s="51" t="n">
        <x:v>0</x:v>
      </x:c>
      <x:c r="J105" s="51" t="n">
        <x:v>0</x:v>
      </x:c>
      <x:c r="K105" s="51" t="n">
        <x:v>0</x:v>
      </x:c>
      <x:c r="L105" s="51" t="str"/>
      <x:c r="M105" s="51" t="str"/>
      <x:c r="N105" s="39" t="str">
        <x:v>A nearly weightless vine with perforated leaves that whistle softly in moving air. It smells of meadow grass, ozone, and clean linen.</x:v>
      </x:c>
    </x:row>
    <x:row r="106">
      <x:c r="A106" s="38" t="str">
        <x:v>Core</x:v>
      </x:c>
      <x:c r="B106" s="51" t="str">
        <x:v>Leaf / Vine</x:v>
      </x:c>
      <x:c r="C106" s="51" t="str">
        <x:v>Very Rare</x:v>
      </x:c>
      <x:c r="D106" s="51" t="str">
        <x:v>Horizon Vine</x:v>
      </x:c>
      <x:c r="E106" s="51" t="n">
        <x:v>6</x:v>
      </x:c>
      <x:c r="F106" s="51" t="n">
        <x:v>75</x:v>
      </x:c>
      <x:c r="G106" s="51" t="n">
        <x:v>0</x:v>
      </x:c>
      <x:c r="H106" s="51" t="n">
        <x:v>50</x:v>
      </x:c>
      <x:c r="I106" s="51" t="n">
        <x:v>0</x:v>
      </x:c>
      <x:c r="J106" s="51" t="n">
        <x:v>0</x:v>
      </x:c>
      <x:c r="K106" s="51" t="n">
        <x:v>0</x:v>
      </x:c>
      <x:c r="L106" s="51" t="str"/>
      <x:c r="M106" s="51" t="str"/>
      <x:c r="N106" s="39" t="str">
        <x:v>A sky-blue vine that always stretches toward the farthest visible point. It feels weightless, smells of high wind and citrus, and uncoils even against gravity.</x:v>
      </x:c>
    </x:row>
    <x:row r="107">
      <x:c r="A107" s="38" t="str">
        <x:v>Core</x:v>
      </x:c>
      <x:c r="B107" s="51" t="str">
        <x:v>Leaf / Vine</x:v>
      </x:c>
      <x:c r="C107" s="51" t="str">
        <x:v>Very Rare</x:v>
      </x:c>
      <x:c r="D107" s="51" t="str">
        <x:v>Silverwake Fern</x:v>
      </x:c>
      <x:c r="E107" s="51" t="n">
        <x:v>6</x:v>
      </x:c>
      <x:c r="F107" s="51" t="n">
        <x:v>125</x:v>
      </x:c>
      <x:c r="G107" s="51" t="n">
        <x:v>0</x:v>
      </x:c>
      <x:c r="H107" s="51" t="n">
        <x:v>0</x:v>
      </x:c>
      <x:c r="I107" s="51" t="n">
        <x:v>0</x:v>
      </x:c>
      <x:c r="J107" s="51" t="n">
        <x:v>0</x:v>
      </x:c>
      <x:c r="K107" s="51" t="n">
        <x:v>0</x:v>
      </x:c>
      <x:c r="L107" s="51" t="str"/>
      <x:c r="M107" s="51" t="str"/>
      <x:c r="N107" s="39" t="str">
        <x:v>A narrow silver-green fern that trembles without wind. The leaves feel slick and springy, and the crushed fronds smell of mint, rainwater, and bright metal.</x:v>
      </x:c>
    </x:row>
    <x:row r="108">
      <x:c r="A108" s="38" t="str">
        <x:v>Core</x:v>
      </x:c>
      <x:c r="B108" s="51" t="str">
        <x:v>Leaf / Vine</x:v>
      </x:c>
      <x:c r="C108" s="51" t="str">
        <x:v>Very Rare</x:v>
      </x:c>
      <x:c r="D108" s="51" t="str">
        <x:v>Thunderstep Fern</x:v>
      </x:c>
      <x:c r="E108" s="51" t="n">
        <x:v>6</x:v>
      </x:c>
      <x:c r="F108" s="51" t="n">
        <x:v>0</x:v>
      </x:c>
      <x:c r="G108" s="51" t="n">
        <x:v>125</x:v>
      </x:c>
      <x:c r="H108" s="51" t="n">
        <x:v>0</x:v>
      </x:c>
      <x:c r="I108" s="51" t="n">
        <x:v>0</x:v>
      </x:c>
      <x:c r="J108" s="51" t="n">
        <x:v>0</x:v>
      </x:c>
      <x:c r="K108" s="51" t="n">
        <x:v>0</x:v>
      </x:c>
      <x:c r="L108" s="51" t="str"/>
      <x:c r="M108" s="51" t="str"/>
      <x:c r="N108" s="39" t="str">
        <x:v>A dark fern with blue veins that prickle against skin. When crushed, it smells of storm air and sharp green spice.</x:v>
      </x:c>
    </x:row>
    <x:row r="109">
      <x:c r="A109" s="38" t="str">
        <x:v>Core</x:v>
      </x:c>
      <x:c r="B109" s="51" t="str">
        <x:v>Leaf / Vine</x:v>
      </x:c>
      <x:c r="C109" s="51" t="str">
        <x:v>Very Rare</x:v>
      </x:c>
      <x:c r="D109" s="51" t="str">
        <x:v>Worldvine Tendril</x:v>
      </x:c>
      <x:c r="E109" s="51" t="n">
        <x:v>6</x:v>
      </x:c>
      <x:c r="F109" s="51" t="n">
        <x:v>0</x:v>
      </x:c>
      <x:c r="G109" s="51" t="n">
        <x:v>25</x:v>
      </x:c>
      <x:c r="H109" s="51" t="n">
        <x:v>0</x:v>
      </x:c>
      <x:c r="I109" s="51" t="n">
        <x:v>0</x:v>
      </x:c>
      <x:c r="J109" s="51" t="n">
        <x:v>0</x:v>
      </x:c>
      <x:c r="K109" s="51" t="n">
        <x:v>1</x:v>
      </x:c>
      <x:c r="L109" s="51" t="str"/>
      <x:c r="M109" s="51" t="str"/>
      <x:c r="N109" s="39" t="str">
        <x:v>A living green tendril with gold fibers under the skin. It curls toward warmth and smells of deep jungle rain.</x:v>
      </x:c>
    </x:row>
    <x:row r="110">
      <x:c r="A110" s="38" t="str">
        <x:v>Core</x:v>
      </x:c>
      <x:c r="B110" s="51" t="str">
        <x:v>Thorn / Bark / Wood</x:v>
      </x:c>
      <x:c r="C110" s="51" t="str">
        <x:v>Common</x:v>
      </x:c>
      <x:c r="D110" s="51" t="str">
        <x:v>Ashbark Flake</x:v>
      </x:c>
      <x:c r="E110" s="51" t="n">
        <x:v>0</x:v>
      </x:c>
      <x:c r="F110" s="51" t="n">
        <x:v>0</x:v>
      </x:c>
      <x:c r="G110" s="51" t="n">
        <x:v>25</x:v>
      </x:c>
      <x:c r="H110" s="51" t="n">
        <x:v>0</x:v>
      </x:c>
      <x:c r="I110" s="51" t="n">
        <x:v>0</x:v>
      </x:c>
      <x:c r="J110" s="51" t="n">
        <x:v>0</x:v>
      </x:c>
      <x:c r="K110" s="51" t="n">
        <x:v>0</x:v>
      </x:c>
      <x:c r="L110" s="51" t="str"/>
      <x:c r="M110" s="51" t="str"/>
      <x:c r="N110" s="39" t="str">
        <x:v>A pale flake of bark with dark soot trapped in its grain. It is dry and brittle, smelling of cold fireplaces, oak, and mineral dust.</x:v>
      </x:c>
    </x:row>
    <x:row r="111">
      <x:c r="A111" s="38" t="str">
        <x:v>Core</x:v>
      </x:c>
      <x:c r="B111" s="51" t="str">
        <x:v>Thorn / Bark / Wood</x:v>
      </x:c>
      <x:c r="C111" s="51" t="str">
        <x:v>Common</x:v>
      </x:c>
      <x:c r="D111" s="51" t="str">
        <x:v>Briarwood Chip</x:v>
      </x:c>
      <x:c r="E111" s="51" t="n">
        <x:v>0</x:v>
      </x:c>
      <x:c r="F111" s="51" t="n">
        <x:v>0</x:v>
      </x:c>
      <x:c r="G111" s="51" t="n">
        <x:v>25</x:v>
      </x:c>
      <x:c r="H111" s="51" t="n">
        <x:v>0</x:v>
      </x:c>
      <x:c r="I111" s="51" t="n">
        <x:v>0</x:v>
      </x:c>
      <x:c r="J111" s="51" t="n">
        <x:v>0</x:v>
      </x:c>
      <x:c r="K111" s="51" t="n">
        <x:v>0</x:v>
      </x:c>
      <x:c r="L111" s="51" t="str"/>
      <x:c r="M111" s="51" t="str"/>
      <x:c r="N111" s="39" t="str">
        <x:v>A reddish chip cut from dense briarwood, crossed by tiny black thorns. It is hard and resinous and smells of rose stems and smoke.</x:v>
      </x:c>
    </x:row>
    <x:row r="112">
      <x:c r="A112" s="38" t="str">
        <x:v>Core</x:v>
      </x:c>
      <x:c r="B112" s="51" t="str">
        <x:v>Thorn / Bark / Wood</x:v>
      </x:c>
      <x:c r="C112" s="51" t="str">
        <x:v>Common</x:v>
      </x:c>
      <x:c r="D112" s="51" t="str">
        <x:v>Crowthorn</x:v>
      </x:c>
      <x:c r="E112" s="51" t="n">
        <x:v>0</x:v>
      </x:c>
      <x:c r="F112" s="51" t="n">
        <x:v>25</x:v>
      </x:c>
      <x:c r="G112" s="51" t="n">
        <x:v>0</x:v>
      </x:c>
      <x:c r="H112" s="51" t="n">
        <x:v>0</x:v>
      </x:c>
      <x:c r="I112" s="51" t="n">
        <x:v>0</x:v>
      </x:c>
      <x:c r="J112" s="51" t="n">
        <x:v>0</x:v>
      </x:c>
      <x:c r="K112" s="51" t="n">
        <x:v>0</x:v>
      </x:c>
      <x:c r="L112" s="51" t="str"/>
      <x:c r="M112" s="51" t="str"/>
      <x:c r="N112" s="39" t="str">
        <x:v>A glossy black thorn curved like a beak. It feels hard as iron, smells faintly of bitter almonds and rain, and leaves a pinprick numbness.</x:v>
      </x:c>
    </x:row>
    <x:row r="113">
      <x:c r="A113" s="38" t="str">
        <x:v>Core</x:v>
      </x:c>
      <x:c r="B113" s="51" t="str">
        <x:v>Thorn / Bark / Wood</x:v>
      </x:c>
      <x:c r="C113" s="51" t="str">
        <x:v>Common</x:v>
      </x:c>
      <x:c r="D113" s="51" t="str">
        <x:v>Oak Bark</x:v>
      </x:c>
      <x:c r="E113" s="51" t="n">
        <x:v>0</x:v>
      </x:c>
      <x:c r="F113" s="51" t="n">
        <x:v>25</x:v>
      </x:c>
      <x:c r="G113" s="51" t="n">
        <x:v>0</x:v>
      </x:c>
      <x:c r="H113" s="51" t="n">
        <x:v>0</x:v>
      </x:c>
      <x:c r="I113" s="51" t="n">
        <x:v>0</x:v>
      </x:c>
      <x:c r="J113" s="51" t="n">
        <x:v>0</x:v>
      </x:c>
      <x:c r="K113" s="51" t="n">
        <x:v>0</x:v>
      </x:c>
      <x:c r="L113" s="51" t="str"/>
      <x:c r="M113" s="51" t="str"/>
      <x:c r="N113" s="39" t="str">
        <x:v>A rough strip of ordinary oak bark with dry tannic dust. It smells woody, bitter, and familiar.</x:v>
      </x:c>
    </x:row>
    <x:row r="114">
      <x:c r="A114" s="38" t="str">
        <x:v>Core</x:v>
      </x:c>
      <x:c r="B114" s="51" t="str">
        <x:v>Thorn / Bark / Wood</x:v>
      </x:c>
      <x:c r="C114" s="51" t="str">
        <x:v>Common</x:v>
      </x:c>
      <x:c r="D114" s="51" t="str">
        <x:v>Pale Thorn</x:v>
      </x:c>
      <x:c r="E114" s="51" t="n">
        <x:v>0</x:v>
      </x:c>
      <x:c r="F114" s="51" t="n">
        <x:v>25</x:v>
      </x:c>
      <x:c r="G114" s="51" t="n">
        <x:v>0</x:v>
      </x:c>
      <x:c r="H114" s="51" t="n">
        <x:v>0</x:v>
      </x:c>
      <x:c r="I114" s="51" t="n">
        <x:v>0</x:v>
      </x:c>
      <x:c r="J114" s="51" t="n">
        <x:v>0</x:v>
      </x:c>
      <x:c r="K114" s="51" t="n">
        <x:v>0</x:v>
      </x:c>
      <x:c r="L114" s="51" t="str"/>
      <x:c r="M114" s="51" t="str"/>
      <x:c r="N114" s="39" t="str">
        <x:v>A long ivory thorn with a faintly translucent tip. It is cool, smooth, and smells of dry wood, bone dust, and bitter sap.</x:v>
      </x:c>
    </x:row>
    <x:row r="115">
      <x:c r="A115" s="38" t="str">
        <x:v>Core</x:v>
      </x:c>
      <x:c r="B115" s="51" t="str">
        <x:v>Thorn / Bark / Wood</x:v>
      </x:c>
      <x:c r="C115" s="51" t="str">
        <x:v>Uncommon</x:v>
      </x:c>
      <x:c r="D115" s="51" t="str">
        <x:v>Briar Thorn</x:v>
      </x:c>
      <x:c r="E115" s="51" t="n">
        <x:v>2</x:v>
      </x:c>
      <x:c r="F115" s="51" t="n">
        <x:v>0</x:v>
      </x:c>
      <x:c r="G115" s="51" t="n">
        <x:v>75</x:v>
      </x:c>
      <x:c r="H115" s="51" t="n">
        <x:v>0</x:v>
      </x:c>
      <x:c r="I115" s="51" t="n">
        <x:v>0</x:v>
      </x:c>
      <x:c r="J115" s="51" t="n">
        <x:v>0</x:v>
      </x:c>
      <x:c r="K115" s="51" t="n">
        <x:v>0</x:v>
      </x:c>
      <x:c r="L115" s="51" t="str"/>
      <x:c r="M115" s="51" t="str"/>
      <x:c r="N115" s="39" t="str">
        <x:v>A bundle of hooked thorns with reddish tips. It catches on gloves and smells dry, green, and faintly bloody.</x:v>
      </x:c>
    </x:row>
    <x:row r="116">
      <x:c r="A116" s="38" t="str">
        <x:v>Core</x:v>
      </x:c>
      <x:c r="B116" s="51" t="str">
        <x:v>Thorn / Bark / Wood</x:v>
      </x:c>
      <x:c r="C116" s="51" t="str">
        <x:v>Uncommon</x:v>
      </x:c>
      <x:c r="D116" s="51" t="str">
        <x:v>Emberwood Curl</x:v>
      </x:c>
      <x:c r="E116" s="51" t="n">
        <x:v>2</x:v>
      </x:c>
      <x:c r="F116" s="51" t="n">
        <x:v>25</x:v>
      </x:c>
      <x:c r="G116" s="51" t="n">
        <x:v>50</x:v>
      </x:c>
      <x:c r="H116" s="51" t="n">
        <x:v>0</x:v>
      </x:c>
      <x:c r="I116" s="51" t="n">
        <x:v>0</x:v>
      </x:c>
      <x:c r="J116" s="51" t="n">
        <x:v>0</x:v>
      </x:c>
      <x:c r="K116" s="51" t="n">
        <x:v>0</x:v>
      </x:c>
      <x:c r="L116" s="51" t="str"/>
      <x:c r="M116" s="51" t="str">
        <x:v>Fire</x:v>
      </x:c>
      <x:c r="N116" s="39" t="str">
        <x:v>A thin curl of red wood that remains warm after sunset. It smells of cinnamon bark, smoke, and orange peel, and flexes without cracking.</x:v>
      </x:c>
    </x:row>
    <x:row r="117">
      <x:c r="A117" s="38" t="str">
        <x:v>Core</x:v>
      </x:c>
      <x:c r="B117" s="51" t="str">
        <x:v>Thorn / Bark / Wood</x:v>
      </x:c>
      <x:c r="C117" s="51" t="str">
        <x:v>Uncommon</x:v>
      </x:c>
      <x:c r="D117" s="51" t="str">
        <x:v>Ironbark Strip</x:v>
      </x:c>
      <x:c r="E117" s="51" t="n">
        <x:v>2</x:v>
      </x:c>
      <x:c r="F117" s="51" t="n">
        <x:v>75</x:v>
      </x:c>
      <x:c r="G117" s="51" t="n">
        <x:v>0</x:v>
      </x:c>
      <x:c r="H117" s="51" t="n">
        <x:v>0</x:v>
      </x:c>
      <x:c r="I117" s="51" t="n">
        <x:v>0</x:v>
      </x:c>
      <x:c r="J117" s="51" t="n">
        <x:v>0</x:v>
      </x:c>
      <x:c r="K117" s="51" t="n">
        <x:v>0</x:v>
      </x:c>
      <x:c r="L117" s="51" t="str"/>
      <x:c r="M117" s="51" t="str"/>
      <x:c r="N117" s="39" t="str">
        <x:v>A dark bark strip with gray ridges hard as scale. Its shavings smell of ironwood, smoke, and bitter tea.</x:v>
      </x:c>
    </x:row>
    <x:row r="118">
      <x:c r="A118" s="38" t="str">
        <x:v>Core</x:v>
      </x:c>
      <x:c r="B118" s="51" t="str">
        <x:v>Thorn / Bark / Wood</x:v>
      </x:c>
      <x:c r="C118" s="51" t="str">
        <x:v>Uncommon</x:v>
      </x:c>
      <x:c r="D118" s="51" t="str">
        <x:v>Redbark Curl</x:v>
      </x:c>
      <x:c r="E118" s="51" t="n">
        <x:v>2</x:v>
      </x:c>
      <x:c r="F118" s="51" t="n">
        <x:v>50</x:v>
      </x:c>
      <x:c r="G118" s="51" t="n">
        <x:v>25</x:v>
      </x:c>
      <x:c r="H118" s="51" t="n">
        <x:v>0</x:v>
      </x:c>
      <x:c r="I118" s="51" t="n">
        <x:v>0</x:v>
      </x:c>
      <x:c r="J118" s="51" t="n">
        <x:v>0</x:v>
      </x:c>
      <x:c r="K118" s="51" t="n">
        <x:v>0</x:v>
      </x:c>
      <x:c r="L118" s="51" t="str"/>
      <x:c r="M118" s="51" t="str"/>
      <x:c r="N118" s="39" t="str">
        <x:v>A curled strip of crimson bark with a soft silver underside. It feels leathery and smells of cinnamon, iron-rich soil, and fresh-cut timber.</x:v>
      </x:c>
    </x:row>
    <x:row r="119">
      <x:c r="A119" s="38" t="str">
        <x:v>Core</x:v>
      </x:c>
      <x:c r="B119" s="51" t="str">
        <x:v>Thorn / Bark / Wood</x:v>
      </x:c>
      <x:c r="C119" s="51" t="str">
        <x:v>Uncommon</x:v>
      </x:c>
      <x:c r="D119" s="51" t="str">
        <x:v>Stonebriar</x:v>
      </x:c>
      <x:c r="E119" s="51" t="n">
        <x:v>2</x:v>
      </x:c>
      <x:c r="F119" s="51" t="n">
        <x:v>25</x:v>
      </x:c>
      <x:c r="G119" s="51" t="n">
        <x:v>0</x:v>
      </x:c>
      <x:c r="H119" s="51" t="n">
        <x:v>0</x:v>
      </x:c>
      <x:c r="I119" s="51" t="n">
        <x:v>0</x:v>
      </x:c>
      <x:c r="J119" s="51" t="n">
        <x:v>1</x:v>
      </x:c>
      <x:c r="K119" s="51" t="n">
        <x:v>0</x:v>
      </x:c>
      <x:c r="L119" s="51" t="str"/>
      <x:c r="M119" s="51" t="str"/>
      <x:c r="N119" s="39" t="str">
        <x:v>A gray-green briar with bark textured like sandstone. It is rough and heavy, smells of crushed thyme and quarry dust, and sparks against steel.</x:v>
      </x:c>
    </x:row>
    <x:row r="120">
      <x:c r="A120" s="38" t="str">
        <x:v>Core</x:v>
      </x:c>
      <x:c r="B120" s="51" t="str">
        <x:v>Thorn / Bark / Wood</x:v>
      </x:c>
      <x:c r="C120" s="51" t="str">
        <x:v>Rare</x:v>
      </x:c>
      <x:c r="D120" s="51" t="str">
        <x:v>Bloodthorn Bundle</x:v>
      </x:c>
      <x:c r="E120" s="51" t="n">
        <x:v>4</x:v>
      </x:c>
      <x:c r="F120" s="51" t="n">
        <x:v>50</x:v>
      </x:c>
      <x:c r="G120" s="51" t="n">
        <x:v>0</x:v>
      </x:c>
      <x:c r="H120" s="51" t="n">
        <x:v>0</x:v>
      </x:c>
      <x:c r="I120" s="51" t="n">
        <x:v>0</x:v>
      </x:c>
      <x:c r="J120" s="51" t="n">
        <x:v>1</x:v>
      </x:c>
      <x:c r="K120" s="51" t="n">
        <x:v>0</x:v>
      </x:c>
      <x:c r="L120" s="51" t="str"/>
      <x:c r="M120" s="51" t="str"/>
      <x:c r="N120" s="39" t="str">
        <x:v>A thorny bundle wrapped in dark red fibers. Its points bead with sticky sap and smell of copper and bramble.</x:v>
      </x:c>
    </x:row>
    <x:row r="121">
      <x:c r="A121" s="38" t="str">
        <x:v>Core</x:v>
      </x:c>
      <x:c r="B121" s="51" t="str">
        <x:v>Thorn / Bark / Wood</x:v>
      </x:c>
      <x:c r="C121" s="51" t="str">
        <x:v>Rare</x:v>
      </x:c>
      <x:c r="D121" s="51" t="str">
        <x:v>Guardian Oak Heartwood</x:v>
      </x:c>
      <x:c r="E121" s="51" t="n">
        <x:v>4</x:v>
      </x:c>
      <x:c r="F121" s="51" t="n">
        <x:v>50</x:v>
      </x:c>
      <x:c r="G121" s="51" t="n">
        <x:v>50</x:v>
      </x:c>
      <x:c r="H121" s="51" t="n">
        <x:v>0</x:v>
      </x:c>
      <x:c r="I121" s="51" t="n">
        <x:v>0</x:v>
      </x:c>
      <x:c r="J121" s="51" t="n">
        <x:v>0</x:v>
      </x:c>
      <x:c r="K121" s="51" t="n">
        <x:v>0</x:v>
      </x:c>
      <x:c r="L121" s="51" t="str"/>
      <x:c r="M121" s="51" t="str"/>
      <x:c r="N121" s="39" t="str">
        <x:v>Dense golden heartwood cut from a tree scarred by lightning. It smells of acorns, rain, and old leather, and vibrates faintly when danger approaches.</x:v>
      </x:c>
    </x:row>
    <x:row r="122">
      <x:c r="A122" s="38" t="str">
        <x:v>Core</x:v>
      </x:c>
      <x:c r="B122" s="51" t="str">
        <x:v>Thorn / Bark / Wood</x:v>
      </x:c>
      <x:c r="C122" s="51" t="str">
        <x:v>Rare</x:v>
      </x:c>
      <x:c r="D122" s="51" t="str">
        <x:v>Kingshield Bark</x:v>
      </x:c>
      <x:c r="E122" s="51" t="n">
        <x:v>4</x:v>
      </x:c>
      <x:c r="F122" s="51" t="n">
        <x:v>100</x:v>
      </x:c>
      <x:c r="G122" s="51" t="n">
        <x:v>0</x:v>
      </x:c>
      <x:c r="H122" s="51" t="n">
        <x:v>0</x:v>
      </x:c>
      <x:c r="I122" s="51" t="n">
        <x:v>0</x:v>
      </x:c>
      <x:c r="J122" s="51" t="n">
        <x:v>0</x:v>
      </x:c>
      <x:c r="K122" s="51" t="n">
        <x:v>0</x:v>
      </x:c>
      <x:c r="L122" s="51" t="str"/>
      <x:c r="M122" s="51" t="str"/>
      <x:c r="N122" s="39" t="str">
        <x:v>A broad golden-brown bark scale with overlapping ridges like armor plates. It smells of oak smoke, leather, and warm spice.</x:v>
      </x:c>
    </x:row>
    <x:row r="123">
      <x:c r="A123" s="38" t="str">
        <x:v>Core</x:v>
      </x:c>
      <x:c r="B123" s="51" t="str">
        <x:v>Thorn / Bark / Wood</x:v>
      </x:c>
      <x:c r="C123" s="51" t="str">
        <x:v>Rare</x:v>
      </x:c>
      <x:c r="D123" s="51" t="str">
        <x:v>Stonebark Shaving</x:v>
      </x:c>
      <x:c r="E123" s="51" t="n">
        <x:v>4</x:v>
      </x:c>
      <x:c r="F123" s="51" t="n">
        <x:v>75</x:v>
      </x:c>
      <x:c r="G123" s="51" t="n">
        <x:v>25</x:v>
      </x:c>
      <x:c r="H123" s="51" t="n">
        <x:v>0</x:v>
      </x:c>
      <x:c r="I123" s="51" t="n">
        <x:v>0</x:v>
      </x:c>
      <x:c r="J123" s="51" t="n">
        <x:v>0</x:v>
      </x:c>
      <x:c r="K123" s="51" t="n">
        <x:v>0</x:v>
      </x:c>
      <x:c r="L123" s="51" t="str"/>
      <x:c r="M123" s="51" t="str"/>
      <x:c r="N123" s="39" t="str">
        <x:v>A pale shaving from bark hardened like stone. It rasps in the mortar and smells of chalk, oak, and rain.</x:v>
      </x:c>
    </x:row>
    <x:row r="124">
      <x:c r="A124" s="38" t="str">
        <x:v>Core</x:v>
      </x:c>
      <x:c r="B124" s="51" t="str">
        <x:v>Thorn / Bark / Wood</x:v>
      </x:c>
      <x:c r="C124" s="51" t="str">
        <x:v>Very Rare</x:v>
      </x:c>
      <x:c r="D124" s="51" t="str">
        <x:v>Adamant Briarheart</x:v>
      </x:c>
      <x:c r="E124" s="51" t="n">
        <x:v>6</x:v>
      </x:c>
      <x:c r="F124" s="51" t="n">
        <x:v>25</x:v>
      </x:c>
      <x:c r="G124" s="51" t="n">
        <x:v>0</x:v>
      </x:c>
      <x:c r="H124" s="51" t="n">
        <x:v>0</x:v>
      </x:c>
      <x:c r="I124" s="51" t="n">
        <x:v>0</x:v>
      </x:c>
      <x:c r="J124" s="51" t="n">
        <x:v>0</x:v>
      </x:c>
      <x:c r="K124" s="51" t="n">
        <x:v>1</x:v>
      </x:c>
      <x:c r="L124" s="51" t="str"/>
      <x:c r="M124" s="51" t="str"/>
      <x:c r="N124" s="39" t="str">
        <x:v>A fist-sized knot of metallic black briarwood threaded with green light. It rings like steel, smells of sap and lightning, and cannot be cut by ordinary knives.</x:v>
      </x:c>
    </x:row>
    <x:row r="125">
      <x:c r="A125" s="38" t="str">
        <x:v>Core</x:v>
      </x:c>
      <x:c r="B125" s="51" t="str">
        <x:v>Thorn / Bark / Wood</x:v>
      </x:c>
      <x:c r="C125" s="51" t="str">
        <x:v>Very Rare</x:v>
      </x:c>
      <x:c r="D125" s="51" t="str">
        <x:v>Crownthorn Knot</x:v>
      </x:c>
      <x:c r="E125" s="51" t="n">
        <x:v>6</x:v>
      </x:c>
      <x:c r="F125" s="51" t="n">
        <x:v>75</x:v>
      </x:c>
      <x:c r="G125" s="51" t="n">
        <x:v>0</x:v>
      </x:c>
      <x:c r="H125" s="51" t="n">
        <x:v>0</x:v>
      </x:c>
      <x:c r="I125" s="51" t="n">
        <x:v>0</x:v>
      </x:c>
      <x:c r="J125" s="51" t="n">
        <x:v>2</x:v>
      </x:c>
      <x:c r="K125" s="51" t="n">
        <x:v>0</x:v>
      </x:c>
      <x:c r="L125" s="51" t="str"/>
      <x:c r="M125" s="51" t="str">
        <x:v>Blindness, Sight</x:v>
      </x:c>
      <x:c r="N125" s="39" t="str">
        <x:v>A twisted thorn-knot shaped like a small crown. Its barbs shine gold at the tips and smell of bitter sap and ozone.</x:v>
      </x:c>
    </x:row>
    <x:row r="126">
      <x:c r="A126" s="38" t="str">
        <x:v>Core</x:v>
      </x:c>
      <x:c r="B126" s="51" t="str">
        <x:v>Thorn / Bark / Wood</x:v>
      </x:c>
      <x:c r="C126" s="51" t="str">
        <x:v>Very Rare</x:v>
      </x:c>
      <x:c r="D126" s="51" t="str">
        <x:v>Elder Ironwood Heart</x:v>
      </x:c>
      <x:c r="E126" s="51" t="n">
        <x:v>6</x:v>
      </x:c>
      <x:c r="F126" s="51" t="n">
        <x:v>125</x:v>
      </x:c>
      <x:c r="G126" s="51" t="n">
        <x:v>0</x:v>
      </x:c>
      <x:c r="H126" s="51" t="n">
        <x:v>0</x:v>
      </x:c>
      <x:c r="I126" s="51" t="n">
        <x:v>0</x:v>
      </x:c>
      <x:c r="J126" s="51" t="n">
        <x:v>0</x:v>
      </x:c>
      <x:c r="K126" s="51" t="n">
        <x:v>0</x:v>
      </x:c>
      <x:c r="L126" s="51" t="str"/>
      <x:c r="M126" s="51" t="str"/>
      <x:c r="N126" s="39" t="str">
        <x:v>A dense black heartwood chip with silver grain. It feels almost metallic and smells of old forests and forge smoke.</x:v>
      </x:c>
    </x:row>
    <x:row r="127">
      <x:c r="A127" s="38" t="str">
        <x:v>Core</x:v>
      </x:c>
      <x:c r="B127" s="51" t="str">
        <x:v>Thorn / Bark / Wood</x:v>
      </x:c>
      <x:c r="C127" s="51" t="str">
        <x:v>Very Rare</x:v>
      </x:c>
      <x:c r="D127" s="51" t="str">
        <x:v>Worldbriar Heart</x:v>
      </x:c>
      <x:c r="E127" s="51" t="n">
        <x:v>6</x:v>
      </x:c>
      <x:c r="F127" s="51" t="n">
        <x:v>75</x:v>
      </x:c>
      <x:c r="G127" s="51" t="n">
        <x:v>50</x:v>
      </x:c>
      <x:c r="H127" s="51" t="n">
        <x:v>0</x:v>
      </x:c>
      <x:c r="I127" s="51" t="n">
        <x:v>0</x:v>
      </x:c>
      <x:c r="J127" s="51" t="n">
        <x:v>0</x:v>
      </x:c>
      <x:c r="K127" s="51" t="n">
        <x:v>0</x:v>
      </x:c>
      <x:c r="L127" s="51" t="str"/>
      <x:c r="M127" s="51" t="str"/>
      <x:c r="N127" s="39" t="str">
        <x:v>A fist-sized knot of black wood wrapped in living green thorns. It pulses faintly when watered and smells of forest rain, resin, and blood-warm sap.</x:v>
      </x:c>
    </x:row>
    <x:row r="128">
      <x:c r="A128" s="38" t="str">
        <x:v>Core</x:v>
      </x:c>
      <x:c r="B128" s="51" t="str">
        <x:v>Mineral / Salt / Ash</x:v>
      </x:c>
      <x:c r="C128" s="51" t="str">
        <x:v>Common</x:v>
      </x:c>
      <x:c r="D128" s="51" t="str">
        <x:v>Bonewhite Ash</x:v>
      </x:c>
      <x:c r="E128" s="51" t="n">
        <x:v>0</x:v>
      </x:c>
      <x:c r="F128" s="51" t="n">
        <x:v>25</x:v>
      </x:c>
      <x:c r="G128" s="51" t="n">
        <x:v>0</x:v>
      </x:c>
      <x:c r="H128" s="51" t="n">
        <x:v>0</x:v>
      </x:c>
      <x:c r="I128" s="51" t="n">
        <x:v>0</x:v>
      </x:c>
      <x:c r="J128" s="51" t="n">
        <x:v>0</x:v>
      </x:c>
      <x:c r="K128" s="51" t="n">
        <x:v>0</x:v>
      </x:c>
      <x:c r="L128" s="51" t="str"/>
      <x:c r="M128" s="51" t="str"/>
      <x:c r="N128" s="39" t="str">
        <x:v>Fine white ash with a silky texture and faint warmth. It smells of clean charcoal, dry herbs, and sun-baked clay.</x:v>
      </x:c>
    </x:row>
    <x:row r="129">
      <x:c r="A129" s="38" t="str">
        <x:v>Core</x:v>
      </x:c>
      <x:c r="B129" s="51" t="str">
        <x:v>Mineral / Salt / Ash</x:v>
      </x:c>
      <x:c r="C129" s="51" t="str">
        <x:v>Common</x:v>
      </x:c>
      <x:c r="D129" s="51" t="str">
        <x:v>Cave Salt</x:v>
      </x:c>
      <x:c r="E129" s="51" t="n">
        <x:v>0</x:v>
      </x:c>
      <x:c r="F129" s="51" t="n">
        <x:v>0</x:v>
      </x:c>
      <x:c r="G129" s="51" t="n">
        <x:v>25</x:v>
      </x:c>
      <x:c r="H129" s="51" t="n">
        <x:v>0</x:v>
      </x:c>
      <x:c r="I129" s="51" t="n">
        <x:v>0</x:v>
      </x:c>
      <x:c r="J129" s="51" t="n">
        <x:v>0</x:v>
      </x:c>
      <x:c r="K129" s="51" t="n">
        <x:v>0</x:v>
      </x:c>
      <x:c r="L129" s="51" t="str"/>
      <x:c r="M129" s="51" t="str"/>
      <x:c r="N129" s="39" t="str">
        <x:v>Coarse gray crystals gathered from cave walls. They crunch like sand, taste smoky and mineral, and smell faintly of wet limestone.</x:v>
      </x:c>
    </x:row>
    <x:row r="130">
      <x:c r="A130" s="38" t="str">
        <x:v>Core</x:v>
      </x:c>
      <x:c r="B130" s="51" t="str">
        <x:v>Mineral / Salt / Ash</x:v>
      </x:c>
      <x:c r="C130" s="51" t="str">
        <x:v>Common</x:v>
      </x:c>
      <x:c r="D130" s="51" t="str">
        <x:v>Hearth Ash</x:v>
      </x:c>
      <x:c r="E130" s="51" t="n">
        <x:v>0</x:v>
      </x:c>
      <x:c r="F130" s="51" t="n">
        <x:v>0</x:v>
      </x:c>
      <x:c r="G130" s="51" t="n">
        <x:v>0</x:v>
      </x:c>
      <x:c r="H130" s="51" t="n">
        <x:v>25</x:v>
      </x:c>
      <x:c r="I130" s="51" t="n">
        <x:v>0</x:v>
      </x:c>
      <x:c r="J130" s="51" t="n">
        <x:v>0</x:v>
      </x:c>
      <x:c r="K130" s="51" t="n">
        <x:v>0</x:v>
      </x:c>
      <x:c r="L130" s="51" t="str"/>
      <x:c r="M130" s="51" t="str"/>
      <x:c r="N130" s="39" t="str">
        <x:v>Soft gray ash sifted from medicinal hardwood fires. It is warm, silky, and smells of charcoal, rosemary, and baked clay.</x:v>
      </x:c>
    </x:row>
    <x:row r="131">
      <x:c r="A131" s="38" t="str">
        <x:v>Core</x:v>
      </x:c>
      <x:c r="B131" s="51" t="str">
        <x:v>Mineral / Salt / Ash</x:v>
      </x:c>
      <x:c r="C131" s="51" t="str">
        <x:v>Common</x:v>
      </x:c>
      <x:c r="D131" s="51" t="str">
        <x:v>River Chalk</x:v>
      </x:c>
      <x:c r="E131" s="51" t="n">
        <x:v>0</x:v>
      </x:c>
      <x:c r="F131" s="51" t="n">
        <x:v>25</x:v>
      </x:c>
      <x:c r="G131" s="51" t="n">
        <x:v>0</x:v>
      </x:c>
      <x:c r="H131" s="51" t="n">
        <x:v>0</x:v>
      </x:c>
      <x:c r="I131" s="51" t="n">
        <x:v>0</x:v>
      </x:c>
      <x:c r="J131" s="51" t="n">
        <x:v>0</x:v>
      </x:c>
      <x:c r="K131" s="51" t="n">
        <x:v>0</x:v>
      </x:c>
      <x:c r="L131" s="51" t="str"/>
      <x:c r="M131" s="51" t="str"/>
      <x:c r="N131" s="39" t="str">
        <x:v>A smooth pale chalk pebble gathered from fast water. It crumbles cool and fine, tasting mineral and smelling of wet stone.</x:v>
      </x:c>
    </x:row>
    <x:row r="132">
      <x:c r="A132" s="38" t="str">
        <x:v>Core</x:v>
      </x:c>
      <x:c r="B132" s="51" t="str">
        <x:v>Mineral / Salt / Ash</x:v>
      </x:c>
      <x:c r="C132" s="51" t="str">
        <x:v>Common</x:v>
      </x:c>
      <x:c r="D132" s="51" t="str">
        <x:v>Spring Salt</x:v>
      </x:c>
      <x:c r="E132" s="51" t="n">
        <x:v>0</x:v>
      </x:c>
      <x:c r="F132" s="51" t="n">
        <x:v>0</x:v>
      </x:c>
      <x:c r="G132" s="51" t="n">
        <x:v>25</x:v>
      </x:c>
      <x:c r="H132" s="51" t="n">
        <x:v>0</x:v>
      </x:c>
      <x:c r="I132" s="51" t="n">
        <x:v>0</x:v>
      </x:c>
      <x:c r="J132" s="51" t="n">
        <x:v>0</x:v>
      </x:c>
      <x:c r="K132" s="51" t="n">
        <x:v>0</x:v>
      </x:c>
      <x:c r="L132" s="51" t="str"/>
      <x:c r="M132" s="51" t="str"/>
      <x:c r="N132" s="39" t="str">
        <x:v>Coarse white salt with green flecks and a clean mineral scent. It tastes bright and cold.</x:v>
      </x:c>
    </x:row>
    <x:row r="133">
      <x:c r="A133" s="38" t="str">
        <x:v>Core</x:v>
      </x:c>
      <x:c r="B133" s="51" t="str">
        <x:v>Mineral / Salt / Ash</x:v>
      </x:c>
      <x:c r="C133" s="51" t="str">
        <x:v>Uncommon</x:v>
      </x:c>
      <x:c r="D133" s="51" t="str">
        <x:v>Alchemical Salt</x:v>
      </x:c>
      <x:c r="E133" s="51" t="n">
        <x:v>2</x:v>
      </x:c>
      <x:c r="F133" s="51" t="n">
        <x:v>0</x:v>
      </x:c>
      <x:c r="G133" s="51" t="n">
        <x:v>75</x:v>
      </x:c>
      <x:c r="H133" s="51" t="n">
        <x:v>0</x:v>
      </x:c>
      <x:c r="I133" s="51" t="n">
        <x:v>0</x:v>
      </x:c>
      <x:c r="J133" s="51" t="n">
        <x:v>0</x:v>
      </x:c>
      <x:c r="K133" s="51" t="n">
        <x:v>0</x:v>
      </x:c>
      <x:c r="L133" s="51" t="str"/>
      <x:c r="M133" s="51" t="str"/>
      <x:c r="N133" s="39" t="str">
        <x:v>A refined salt that sparks faintly under a pestle. It smells sterile, mineral, and sharp.</x:v>
      </x:c>
    </x:row>
    <x:row r="134">
      <x:c r="A134" s="38" t="str">
        <x:v>Core</x:v>
      </x:c>
      <x:c r="B134" s="51" t="str">
        <x:v>Mineral / Salt / Ash</x:v>
      </x:c>
      <x:c r="C134" s="51" t="str">
        <x:v>Uncommon</x:v>
      </x:c>
      <x:c r="D134" s="51" t="str">
        <x:v>Charcoal Ash</x:v>
      </x:c>
      <x:c r="E134" s="51" t="n">
        <x:v>2</x:v>
      </x:c>
      <x:c r="F134" s="51" t="n">
        <x:v>0</x:v>
      </x:c>
      <x:c r="G134" s="51" t="n">
        <x:v>25</x:v>
      </x:c>
      <x:c r="H134" s="51" t="n">
        <x:v>0</x:v>
      </x:c>
      <x:c r="I134" s="51" t="n">
        <x:v>1</x:v>
      </x:c>
      <x:c r="J134" s="51" t="n">
        <x:v>0</x:v>
      </x:c>
      <x:c r="K134" s="51" t="n">
        <x:v>0</x:v>
      </x:c>
      <x:c r="L134" s="51" t="str"/>
      <x:c r="M134" s="51" t="str"/>
      <x:c r="N134" s="39" t="str">
        <x:v>Soft black ash with silver-gray dust at the edges. It smells smoky, dry, and faintly sweet.</x:v>
      </x:c>
    </x:row>
    <x:row r="135">
      <x:c r="A135" s="38" t="str">
        <x:v>Core</x:v>
      </x:c>
      <x:c r="B135" s="51" t="str">
        <x:v>Mineral / Salt / Ash</x:v>
      </x:c>
      <x:c r="C135" s="51" t="str">
        <x:v>Uncommon</x:v>
      </x:c>
      <x:c r="D135" s="51" t="str">
        <x:v>Glass Sand</x:v>
      </x:c>
      <x:c r="E135" s="51" t="n">
        <x:v>2</x:v>
      </x:c>
      <x:c r="F135" s="51" t="n">
        <x:v>50</x:v>
      </x:c>
      <x:c r="G135" s="51" t="n">
        <x:v>25</x:v>
      </x:c>
      <x:c r="H135" s="51" t="n">
        <x:v>0</x:v>
      </x:c>
      <x:c r="I135" s="51" t="n">
        <x:v>0</x:v>
      </x:c>
      <x:c r="J135" s="51" t="n">
        <x:v>0</x:v>
      </x:c>
      <x:c r="K135" s="51" t="n">
        <x:v>0</x:v>
      </x:c>
      <x:c r="L135" s="51" t="str"/>
      <x:c r="M135" s="51" t="str"/>
      <x:c r="N135" s="39" t="str">
        <x:v>Fine transparent grains that chime faintly when poured. They feel sharp but leave no cuts and smell of hot stone and salt air.</x:v>
      </x:c>
    </x:row>
    <x:row r="136">
      <x:c r="A136" s="38" t="str">
        <x:v>Core</x:v>
      </x:c>
      <x:c r="B136" s="51" t="str">
        <x:v>Mineral / Salt / Ash</x:v>
      </x:c>
      <x:c r="C136" s="51" t="str">
        <x:v>Uncommon</x:v>
      </x:c>
      <x:c r="D136" s="51" t="str">
        <x:v>Mireglass Sand</x:v>
      </x:c>
      <x:c r="E136" s="51" t="n">
        <x:v>2</x:v>
      </x:c>
      <x:c r="F136" s="51" t="n">
        <x:v>0</x:v>
      </x:c>
      <x:c r="G136" s="51" t="n">
        <x:v>25</x:v>
      </x:c>
      <x:c r="H136" s="51" t="n">
        <x:v>0</x:v>
      </x:c>
      <x:c r="I136" s="51" t="n">
        <x:v>0</x:v>
      </x:c>
      <x:c r="J136" s="51" t="n">
        <x:v>1</x:v>
      </x:c>
      <x:c r="K136" s="51" t="n">
        <x:v>0</x:v>
      </x:c>
      <x:c r="L136" s="51" t="str"/>
      <x:c r="M136" s="51" t="str"/>
      <x:c r="N136" s="39" t="str">
        <x:v>Dark green glass grains rounded smooth by swamp water. They feel cool and oily, smell of reeds and iron, and glow faintly beneath moonlight.</x:v>
      </x:c>
    </x:row>
    <x:row r="137">
      <x:c r="A137" s="38" t="str">
        <x:v>Core</x:v>
      </x:c>
      <x:c r="B137" s="51" t="str">
        <x:v>Mineral / Salt / Ash</x:v>
      </x:c>
      <x:c r="C137" s="51" t="str">
        <x:v>Uncommon</x:v>
      </x:c>
      <x:c r="D137" s="51" t="str">
        <x:v>Sunflint Powder</x:v>
      </x:c>
      <x:c r="E137" s="51" t="n">
        <x:v>2</x:v>
      </x:c>
      <x:c r="F137" s="51" t="n">
        <x:v>0</x:v>
      </x:c>
      <x:c r="G137" s="51" t="n">
        <x:v>25</x:v>
      </x:c>
      <x:c r="H137" s="51" t="n">
        <x:v>50</x:v>
      </x:c>
      <x:c r="I137" s="51" t="n">
        <x:v>0</x:v>
      </x:c>
      <x:c r="J137" s="51" t="n">
        <x:v>0</x:v>
      </x:c>
      <x:c r="K137" s="51" t="n">
        <x:v>0</x:v>
      </x:c>
      <x:c r="L137" s="51" t="str"/>
      <x:c r="M137" s="51" t="str"/>
      <x:c r="N137" s="39" t="str">
        <x:v>Bright yellow stone powder that flashes when poured into sunlight. It feels gritty and warm, smelling of citrus peel and struck flint.</x:v>
      </x:c>
    </x:row>
    <x:row r="138">
      <x:c r="A138" s="38" t="str">
        <x:v>Core</x:v>
      </x:c>
      <x:c r="B138" s="51" t="str">
        <x:v>Mineral / Salt / Ash</x:v>
      </x:c>
      <x:c r="C138" s="51" t="str">
        <x:v>Rare</x:v>
      </x:c>
      <x:c r="D138" s="51" t="str">
        <x:v>Diamond Dust Salt</x:v>
      </x:c>
      <x:c r="E138" s="51" t="n">
        <x:v>4</x:v>
      </x:c>
      <x:c r="F138" s="51" t="n">
        <x:v>0</x:v>
      </x:c>
      <x:c r="G138" s="51" t="n">
        <x:v>50</x:v>
      </x:c>
      <x:c r="H138" s="51" t="n">
        <x:v>0</x:v>
      </x:c>
      <x:c r="I138" s="51" t="n">
        <x:v>1</x:v>
      </x:c>
      <x:c r="J138" s="51" t="n">
        <x:v>0</x:v>
      </x:c>
      <x:c r="K138" s="51" t="n">
        <x:v>0</x:v>
      </x:c>
      <x:c r="L138" s="51" t="str"/>
      <x:c r="M138" s="51" t="str"/>
      <x:c r="N138" s="39" t="str">
        <x:v>Glittering salt mixed with hard crystal dust. It scratches glass and smells cold, clean, and expensive.</x:v>
      </x:c>
    </x:row>
    <x:row r="139">
      <x:c r="A139" s="38" t="str">
        <x:v>Core</x:v>
      </x:c>
      <x:c r="B139" s="51" t="str">
        <x:v>Mineral / Salt / Ash</x:v>
      </x:c>
      <x:c r="C139" s="51" t="str">
        <x:v>Rare</x:v>
      </x:c>
      <x:c r="D139" s="51" t="str">
        <x:v>Echo Crystal Dust</x:v>
      </x:c>
      <x:c r="E139" s="51" t="n">
        <x:v>4</x:v>
      </x:c>
      <x:c r="F139" s="51" t="n">
        <x:v>50</x:v>
      </x:c>
      <x:c r="G139" s="51" t="n">
        <x:v>0</x:v>
      </x:c>
      <x:c r="H139" s="51" t="n">
        <x:v>50</x:v>
      </x:c>
      <x:c r="I139" s="51" t="n">
        <x:v>0</x:v>
      </x:c>
      <x:c r="J139" s="51" t="n">
        <x:v>0</x:v>
      </x:c>
      <x:c r="K139" s="51" t="n">
        <x:v>0</x:v>
      </x:c>
      <x:c r="L139" s="51" t="str"/>
      <x:c r="M139" s="51" t="str">
        <x:v>Deafness, Sound, Thunder</x:v>
      </x:c>
      <x:c r="N139" s="39" t="str">
        <x:v>Powdered clear crystal that repeats nearby sounds as tiny chimes. It feels sharp but weightless and smells of cold air after thunder.</x:v>
      </x:c>
    </x:row>
    <x:row r="140">
      <x:c r="A140" s="38" t="str">
        <x:v>Core</x:v>
      </x:c>
      <x:c r="B140" s="51" t="str">
        <x:v>Mineral / Salt / Ash</x:v>
      </x:c>
      <x:c r="C140" s="51" t="str">
        <x:v>Rare</x:v>
      </x:c>
      <x:c r="D140" s="51" t="str">
        <x:v>Grave Ash</x:v>
      </x:c>
      <x:c r="E140" s="51" t="n">
        <x:v>4</x:v>
      </x:c>
      <x:c r="F140" s="51" t="n">
        <x:v>50</x:v>
      </x:c>
      <x:c r="G140" s="51" t="n">
        <x:v>0</x:v>
      </x:c>
      <x:c r="H140" s="51" t="n">
        <x:v>0</x:v>
      </x:c>
      <x:c r="I140" s="51" t="n">
        <x:v>0</x:v>
      </x:c>
      <x:c r="J140" s="51" t="n">
        <x:v>1</x:v>
      </x:c>
      <x:c r="K140" s="51" t="n">
        <x:v>0</x:v>
      </x:c>
      <x:c r="L140" s="51" t="str"/>
      <x:c r="M140" s="51" t="str">
        <x:v>Necrotic, Death</x:v>
      </x:c>
      <x:c r="N140" s="39" t="str">
        <x:v>Pale gray ash that clumps in humid air. It smells of old stone, spent incense, and cold earth.</x:v>
      </x:c>
    </x:row>
    <x:row r="141">
      <x:c r="A141" s="38" t="str">
        <x:v>Core</x:v>
      </x:c>
      <x:c r="B141" s="51" t="str">
        <x:v>Mineral / Salt / Ash</x:v>
      </x:c>
      <x:c r="C141" s="51" t="str">
        <x:v>Rare</x:v>
      </x:c>
      <x:c r="D141" s="51" t="str">
        <x:v>Moonstone Powder</x:v>
      </x:c>
      <x:c r="E141" s="51" t="n">
        <x:v>4</x:v>
      </x:c>
      <x:c r="F141" s="51" t="n">
        <x:v>0</x:v>
      </x:c>
      <x:c r="G141" s="51" t="n">
        <x:v>100</x:v>
      </x:c>
      <x:c r="H141" s="51" t="n">
        <x:v>0</x:v>
      </x:c>
      <x:c r="I141" s="51" t="n">
        <x:v>0</x:v>
      </x:c>
      <x:c r="J141" s="51" t="n">
        <x:v>0</x:v>
      </x:c>
      <x:c r="K141" s="51" t="n">
        <x:v>0</x:v>
      </x:c>
      <x:c r="L141" s="51" t="str"/>
      <x:c r="M141" s="51" t="str"/>
      <x:c r="N141" s="39" t="str">
        <x:v>Pearl-white mineral powder that glows blue along its edges. It feels cool and slippery and smells of dust after rain.</x:v>
      </x:c>
    </x:row>
    <x:row r="142">
      <x:c r="A142" s="38" t="str">
        <x:v>Core</x:v>
      </x:c>
      <x:c r="B142" s="51" t="str">
        <x:v>Mineral / Salt / Ash</x:v>
      </x:c>
      <x:c r="C142" s="51" t="str">
        <x:v>Very Rare</x:v>
      </x:c>
      <x:c r="D142" s="51" t="str">
        <x:v>Celestial Salt</x:v>
      </x:c>
      <x:c r="E142" s="51" t="n">
        <x:v>6</x:v>
      </x:c>
      <x:c r="F142" s="51" t="n">
        <x:v>0</x:v>
      </x:c>
      <x:c r="G142" s="51" t="n">
        <x:v>25</x:v>
      </x:c>
      <x:c r="H142" s="51" t="n">
        <x:v>0</x:v>
      </x:c>
      <x:c r="I142" s="51" t="n">
        <x:v>0</x:v>
      </x:c>
      <x:c r="J142" s="51" t="n">
        <x:v>0</x:v>
      </x:c>
      <x:c r="K142" s="51" t="n">
        <x:v>1</x:v>
      </x:c>
      <x:c r="L142" s="51" t="str"/>
      <x:c r="M142" s="51" t="str"/>
      <x:c r="N142" s="39" t="str">
        <x:v>Opalescent crystals that cast tiny star-shaped reflections. They taste sweet before turning sharply saline and smell of ozone, incense, and clean snow.</x:v>
      </x:c>
    </x:row>
    <x:row r="143">
      <x:c r="A143" s="38" t="str">
        <x:v>Core</x:v>
      </x:c>
      <x:c r="B143" s="51" t="str">
        <x:v>Mineral / Salt / Ash</x:v>
      </x:c>
      <x:c r="C143" s="51" t="str">
        <x:v>Very Rare</x:v>
      </x:c>
      <x:c r="D143" s="51" t="str">
        <x:v>Eternity Salt</x:v>
      </x:c>
      <x:c r="E143" s="51" t="n">
        <x:v>6</x:v>
      </x:c>
      <x:c r="F143" s="51" t="n">
        <x:v>0</x:v>
      </x:c>
      <x:c r="G143" s="51" t="n">
        <x:v>125</x:v>
      </x:c>
      <x:c r="H143" s="51" t="n">
        <x:v>0</x:v>
      </x:c>
      <x:c r="I143" s="51" t="n">
        <x:v>0</x:v>
      </x:c>
      <x:c r="J143" s="51" t="n">
        <x:v>0</x:v>
      </x:c>
      <x:c r="K143" s="51" t="n">
        <x:v>0</x:v>
      </x:c>
      <x:c r="L143" s="51" t="str"/>
      <x:c r="M143" s="51" t="str"/>
      <x:c r="N143" s="39" t="str">
        <x:v>Large clear crystals with slow silver currents moving inside. They never dissolve completely and smell of deep caverns, winter air, and distant lightning.</x:v>
      </x:c>
    </x:row>
    <x:row r="144">
      <x:c r="A144" s="38" t="str">
        <x:v>Core</x:v>
      </x:c>
      <x:c r="B144" s="51" t="str">
        <x:v>Mineral / Salt / Ash</x:v>
      </x:c>
      <x:c r="C144" s="51" t="str">
        <x:v>Very Rare</x:v>
      </x:c>
      <x:c r="D144" s="51" t="str">
        <x:v>Prismatic Ash</x:v>
      </x:c>
      <x:c r="E144" s="51" t="n">
        <x:v>6</x:v>
      </x:c>
      <x:c r="F144" s="51" t="n">
        <x:v>0</x:v>
      </x:c>
      <x:c r="G144" s="51" t="n">
        <x:v>25</x:v>
      </x:c>
      <x:c r="H144" s="51" t="n">
        <x:v>0</x:v>
      </x:c>
      <x:c r="I144" s="51" t="n">
        <x:v>3</x:v>
      </x:c>
      <x:c r="J144" s="51" t="n">
        <x:v>0</x:v>
      </x:c>
      <x:c r="K144" s="51" t="n">
        <x:v>0</x:v>
      </x:c>
      <x:c r="L144" s="51" t="str"/>
      <x:c r="M144" s="51" t="str">
        <x:v>Force, Radiant</x:v>
      </x:c>
      <x:c r="N144" s="39" t="str">
        <x:v>Color-shifting ash that separates into rainbow layers when shaken. It smells clean, dry, and impossibly bright.</x:v>
      </x:c>
    </x:row>
    <x:row r="145">
      <x:c r="A145" s="38" t="str">
        <x:v>Core</x:v>
      </x:c>
      <x:c r="B145" s="51" t="str">
        <x:v>Mineral / Salt / Ash</x:v>
      </x:c>
      <x:c r="C145" s="51" t="str">
        <x:v>Very Rare</x:v>
      </x:c>
      <x:c r="D145" s="51" t="str">
        <x:v>Starfall Salt</x:v>
      </x:c>
      <x:c r="E145" s="51" t="n">
        <x:v>6</x:v>
      </x:c>
      <x:c r="F145" s="51" t="n">
        <x:v>0</x:v>
      </x:c>
      <x:c r="G145" s="51" t="n">
        <x:v>75</x:v>
      </x:c>
      <x:c r="H145" s="51" t="n">
        <x:v>0</x:v>
      </x:c>
      <x:c r="I145" s="51" t="n">
        <x:v>0</x:v>
      </x:c>
      <x:c r="J145" s="51" t="n">
        <x:v>2</x:v>
      </x:c>
      <x:c r="K145" s="51" t="n">
        <x:v>0</x:v>
      </x:c>
      <x:c r="L145" s="51" t="str"/>
      <x:c r="M145" s="51" t="str">
        <x:v>Petrification, Stone</x:v>
      </x:c>
      <x:c r="N145" s="39" t="str">
        <x:v>Blue-white salt crystals that glow faintly in darkness. They smell of winter air and lightning over stone.</x:v>
      </x:c>
    </x:row>
    <x:row r="146">
      <x:c r="A146" s="38" t="str">
        <x:v>Core</x:v>
      </x:c>
      <x:c r="B146" s="51" t="str">
        <x:v>Venom / Poison Plant</x:v>
      </x:c>
      <x:c r="C146" s="51" t="str">
        <x:v>Common</x:v>
      </x:c>
      <x:c r="D146" s="51" t="str">
        <x:v>Bitterleaf</x:v>
      </x:c>
      <x:c r="E146" s="51" t="n">
        <x:v>0</x:v>
      </x:c>
      <x:c r="F146" s="51" t="n">
        <x:v>25</x:v>
      </x:c>
      <x:c r="G146" s="51" t="n">
        <x:v>0</x:v>
      </x:c>
      <x:c r="H146" s="51" t="n">
        <x:v>0</x:v>
      </x:c>
      <x:c r="I146" s="51" t="n">
        <x:v>0</x:v>
      </x:c>
      <x:c r="J146" s="51" t="n">
        <x:v>0</x:v>
      </x:c>
      <x:c r="K146" s="51" t="n">
        <x:v>0</x:v>
      </x:c>
      <x:c r="L146" s="51" t="str"/>
      <x:c r="M146" s="51" t="str"/>
      <x:c r="N146" s="39" t="str">
        <x:v>A dark green leaf with black veins and an acrid herbal bite. It smells bitter enough to sting the nose.</x:v>
      </x:c>
    </x:row>
    <x:row r="147">
      <x:c r="A147" s="38" t="str">
        <x:v>Core</x:v>
      </x:c>
      <x:c r="B147" s="51" t="str">
        <x:v>Venom / Poison Plant</x:v>
      </x:c>
      <x:c r="C147" s="51" t="str">
        <x:v>Common</x:v>
      </x:c>
      <x:c r="D147" s="51" t="str">
        <x:v>Bitterthorn Sap</x:v>
      </x:c>
      <x:c r="E147" s="51" t="n">
        <x:v>0</x:v>
      </x:c>
      <x:c r="F147" s="51" t="n">
        <x:v>25</x:v>
      </x:c>
      <x:c r="G147" s="51" t="n">
        <x:v>0</x:v>
      </x:c>
      <x:c r="H147" s="51" t="n">
        <x:v>0</x:v>
      </x:c>
      <x:c r="I147" s="51" t="n">
        <x:v>0</x:v>
      </x:c>
      <x:c r="J147" s="51" t="n">
        <x:v>0</x:v>
      </x:c>
      <x:c r="K147" s="51" t="n">
        <x:v>0</x:v>
      </x:c>
      <x:c r="L147" s="51" t="str"/>
      <x:c r="M147" s="51" t="str"/>
      <x:c r="N147" s="39" t="str">
        <x:v>Milky green sap collected from hooked thorns. It is tacky, intensely bitter, and smells of grapefruit rind, crushed nettles, and copper.</x:v>
      </x:c>
    </x:row>
    <x:row r="148">
      <x:c r="A148" s="38" t="str">
        <x:v>Core</x:v>
      </x:c>
      <x:c r="B148" s="51" t="str">
        <x:v>Venom / Poison Plant</x:v>
      </x:c>
      <x:c r="C148" s="51" t="str">
        <x:v>Common</x:v>
      </x:c>
      <x:c r="D148" s="51" t="str">
        <x:v>Itchreed</x:v>
      </x:c>
      <x:c r="E148" s="51" t="n">
        <x:v>0</x:v>
      </x:c>
      <x:c r="F148" s="51" t="n">
        <x:v>0</x:v>
      </x:c>
      <x:c r="G148" s="51" t="n">
        <x:v>25</x:v>
      </x:c>
      <x:c r="H148" s="51" t="n">
        <x:v>0</x:v>
      </x:c>
      <x:c r="I148" s="51" t="n">
        <x:v>0</x:v>
      </x:c>
      <x:c r="J148" s="51" t="n">
        <x:v>0</x:v>
      </x:c>
      <x:c r="K148" s="51" t="n">
        <x:v>0</x:v>
      </x:c>
      <x:c r="L148" s="51" t="str"/>
      <x:c r="M148" s="51" t="str"/>
      <x:c r="N148" s="39" t="str">
        <x:v>A yellow reed covered in nearly invisible hairs. It feels dry and papery, smells of cut hay and pepper, and raises an itchy welt on bare skin.</x:v>
      </x:c>
    </x:row>
    <x:row r="149">
      <x:c r="A149" s="38" t="str">
        <x:v>Core</x:v>
      </x:c>
      <x:c r="B149" s="51" t="str">
        <x:v>Venom / Poison Plant</x:v>
      </x:c>
      <x:c r="C149" s="51" t="str">
        <x:v>Common</x:v>
      </x:c>
      <x:c r="D149" s="51" t="str">
        <x:v>Sourbell</x:v>
      </x:c>
      <x:c r="E149" s="51" t="n">
        <x:v>0</x:v>
      </x:c>
      <x:c r="F149" s="51" t="n">
        <x:v>25</x:v>
      </x:c>
      <x:c r="G149" s="51" t="n">
        <x:v>0</x:v>
      </x:c>
      <x:c r="H149" s="51" t="n">
        <x:v>0</x:v>
      </x:c>
      <x:c r="I149" s="51" t="n">
        <x:v>0</x:v>
      </x:c>
      <x:c r="J149" s="51" t="n">
        <x:v>0</x:v>
      </x:c>
      <x:c r="K149" s="51" t="n">
        <x:v>0</x:v>
      </x:c>
      <x:c r="L149" s="51" t="str"/>
      <x:c r="M149" s="51" t="str"/>
      <x:c r="N149" s="39" t="str">
        <x:v>A drooping yellow-green flower with a swollen bell full of cloudy nectar. It smells sharply of vinegar, citrus rind, and bruised weeds.</x:v>
      </x:c>
    </x:row>
    <x:row r="150">
      <x:c r="A150" s="38" t="str">
        <x:v>Core</x:v>
      </x:c>
      <x:c r="B150" s="51" t="str">
        <x:v>Venom / Poison Plant</x:v>
      </x:c>
      <x:c r="C150" s="51" t="str">
        <x:v>Common</x:v>
      </x:c>
      <x:c r="D150" s="51" t="str">
        <x:v>Stingnettle</x:v>
      </x:c>
      <x:c r="E150" s="51" t="n">
        <x:v>0</x:v>
      </x:c>
      <x:c r="F150" s="51" t="n">
        <x:v>0</x:v>
      </x:c>
      <x:c r="G150" s="51" t="n">
        <x:v>25</x:v>
      </x:c>
      <x:c r="H150" s="51" t="n">
        <x:v>0</x:v>
      </x:c>
      <x:c r="I150" s="51" t="n">
        <x:v>0</x:v>
      </x:c>
      <x:c r="J150" s="51" t="n">
        <x:v>0</x:v>
      </x:c>
      <x:c r="K150" s="51" t="n">
        <x:v>0</x:v>
      </x:c>
      <x:c r="L150" s="51" t="str"/>
      <x:c r="M150" s="51" t="str"/>
      <x:c r="N150" s="39" t="str">
        <x:v>A low dark nettle covered in nearly invisible glass hairs. Brushing it leaves a hot numbness, and it smells of pepper, green sap, and copper.</x:v>
      </x:c>
    </x:row>
    <x:row r="151">
      <x:c r="A151" s="38" t="str">
        <x:v>Core</x:v>
      </x:c>
      <x:c r="B151" s="51" t="str">
        <x:v>Venom / Poison Plant</x:v>
      </x:c>
      <x:c r="C151" s="51" t="str">
        <x:v>Uncommon</x:v>
      </x:c>
      <x:c r="D151" s="51" t="str">
        <x:v>Ashfang Leaf</x:v>
      </x:c>
      <x:c r="E151" s="51" t="n">
        <x:v>2</x:v>
      </x:c>
      <x:c r="F151" s="51" t="n">
        <x:v>25</x:v>
      </x:c>
      <x:c r="G151" s="51" t="n">
        <x:v>50</x:v>
      </x:c>
      <x:c r="H151" s="51" t="n">
        <x:v>0</x:v>
      </x:c>
      <x:c r="I151" s="51" t="n">
        <x:v>0</x:v>
      </x:c>
      <x:c r="J151" s="51" t="n">
        <x:v>0</x:v>
      </x:c>
      <x:c r="K151" s="51" t="n">
        <x:v>0</x:v>
      </x:c>
      <x:c r="L151" s="51" t="str"/>
      <x:c r="M151" s="51" t="str"/>
      <x:c r="N151" s="39" t="str">
        <x:v>A serrated gray leaf with black veins and a dry leathery feel. It smells of burnt tea and metal, leaving a sharp numbness on the tongue.</x:v>
      </x:c>
    </x:row>
    <x:row r="152">
      <x:c r="A152" s="38" t="str">
        <x:v>Core</x:v>
      </x:c>
      <x:c r="B152" s="51" t="str">
        <x:v>Venom / Poison Plant</x:v>
      </x:c>
      <x:c r="C152" s="51" t="str">
        <x:v>Uncommon</x:v>
      </x:c>
      <x:c r="D152" s="51" t="str">
        <x:v>Drowsevine</x:v>
      </x:c>
      <x:c r="E152" s="51" t="n">
        <x:v>2</x:v>
      </x:c>
      <x:c r="F152" s="51" t="n">
        <x:v>50</x:v>
      </x:c>
      <x:c r="G152" s="51" t="n">
        <x:v>25</x:v>
      </x:c>
      <x:c r="H152" s="51" t="n">
        <x:v>0</x:v>
      </x:c>
      <x:c r="I152" s="51" t="n">
        <x:v>0</x:v>
      </x:c>
      <x:c r="J152" s="51" t="n">
        <x:v>0</x:v>
      </x:c>
      <x:c r="K152" s="51" t="n">
        <x:v>0</x:v>
      </x:c>
      <x:c r="L152" s="51" t="str"/>
      <x:c r="M152" s="51" t="str"/>
      <x:c r="N152" s="39" t="str">
        <x:v>A purple vine with soft fuzzy leaves that curl around warm objects. Its scent is sweet and heavy, like overripe berries and poppy smoke.</x:v>
      </x:c>
    </x:row>
    <x:row r="153">
      <x:c r="A153" s="38" t="str">
        <x:v>Core</x:v>
      </x:c>
      <x:c r="B153" s="51" t="str">
        <x:v>Venom / Poison Plant</x:v>
      </x:c>
      <x:c r="C153" s="51" t="str">
        <x:v>Uncommon</x:v>
      </x:c>
      <x:c r="D153" s="51" t="str">
        <x:v>Sleepnettle</x:v>
      </x:c>
      <x:c r="E153" s="51" t="n">
        <x:v>2</x:v>
      </x:c>
      <x:c r="F153" s="51" t="n">
        <x:v>0</x:v>
      </x:c>
      <x:c r="G153" s="51" t="n">
        <x:v>25</x:v>
      </x:c>
      <x:c r="H153" s="51" t="n">
        <x:v>0</x:v>
      </x:c>
      <x:c r="I153" s="51" t="n">
        <x:v>0</x:v>
      </x:c>
      <x:c r="J153" s="51" t="n">
        <x:v>1</x:v>
      </x:c>
      <x:c r="K153" s="51" t="n">
        <x:v>0</x:v>
      </x:c>
      <x:c r="L153" s="51" t="str"/>
      <x:c r="M153" s="51" t="str"/>
      <x:c r="N153" s="39" t="str">
        <x:v>A soft violet nettle whose hairs droop at dusk. It smells of lavender and sour grass, and contact leaves the fingers heavy and slow.</x:v>
      </x:c>
    </x:row>
    <x:row r="154">
      <x:c r="A154" s="38" t="str">
        <x:v>Core</x:v>
      </x:c>
      <x:c r="B154" s="51" t="str">
        <x:v>Venom / Poison Plant</x:v>
      </x:c>
      <x:c r="C154" s="51" t="str">
        <x:v>Uncommon</x:v>
      </x:c>
      <x:c r="D154" s="51" t="str">
        <x:v>Venomkiss Nettle</x:v>
      </x:c>
      <x:c r="E154" s="51" t="n">
        <x:v>2</x:v>
      </x:c>
      <x:c r="F154" s="51" t="n">
        <x:v>75</x:v>
      </x:c>
      <x:c r="G154" s="51" t="n">
        <x:v>0</x:v>
      </x:c>
      <x:c r="H154" s="51" t="n">
        <x:v>0</x:v>
      </x:c>
      <x:c r="I154" s="51" t="n">
        <x:v>0</x:v>
      </x:c>
      <x:c r="J154" s="51" t="n">
        <x:v>0</x:v>
      </x:c>
      <x:c r="K154" s="51" t="n">
        <x:v>0</x:v>
      </x:c>
      <x:c r="L154" s="51" t="str"/>
      <x:c r="M154" s="51" t="str"/>
      <x:c r="N154" s="39" t="str">
        <x:v>A nettle with red hairs that twitch when warmed. It smells of crushed greens, pepper, and venom sacs.</x:v>
      </x:c>
    </x:row>
    <x:row r="155">
      <x:c r="A155" s="38" t="str">
        <x:v>Core</x:v>
      </x:c>
      <x:c r="B155" s="51" t="str">
        <x:v>Venom / Poison Plant</x:v>
      </x:c>
      <x:c r="C155" s="51" t="str">
        <x:v>Uncommon</x:v>
      </x:c>
      <x:c r="D155" s="51" t="str">
        <x:v>Widowshade</x:v>
      </x:c>
      <x:c r="E155" s="51" t="n">
        <x:v>2</x:v>
      </x:c>
      <x:c r="F155" s="51" t="n">
        <x:v>25</x:v>
      </x:c>
      <x:c r="G155" s="51" t="n">
        <x:v>0</x:v>
      </x:c>
      <x:c r="H155" s="51" t="n">
        <x:v>0</x:v>
      </x:c>
      <x:c r="I155" s="51" t="n">
        <x:v>0</x:v>
      </x:c>
      <x:c r="J155" s="51" t="n">
        <x:v>1</x:v>
      </x:c>
      <x:c r="K155" s="51" t="n">
        <x:v>0</x:v>
      </x:c>
      <x:c r="L155" s="51" t="str"/>
      <x:c r="M155" s="51" t="str"/>
      <x:c r="N155" s="39" t="str">
        <x:v>A drooping purple-black sprig with glossy leaves. Its scent is sweet at first, then metallic and cold.</x:v>
      </x:c>
    </x:row>
    <x:row r="156">
      <x:c r="A156" s="38" t="str">
        <x:v>Core</x:v>
      </x:c>
      <x:c r="B156" s="51" t="str">
        <x:v>Venom / Poison Plant</x:v>
      </x:c>
      <x:c r="C156" s="51" t="str">
        <x:v>Rare</x:v>
      </x:c>
      <x:c r="D156" s="51" t="str">
        <x:v>Longsting Root</x:v>
      </x:c>
      <x:c r="E156" s="51" t="n">
        <x:v>4</x:v>
      </x:c>
      <x:c r="F156" s="51" t="n">
        <x:v>50</x:v>
      </x:c>
      <x:c r="G156" s="51" t="n">
        <x:v>50</x:v>
      </x:c>
      <x:c r="H156" s="51" t="n">
        <x:v>0</x:v>
      </x:c>
      <x:c r="I156" s="51" t="n">
        <x:v>0</x:v>
      </x:c>
      <x:c r="J156" s="51" t="n">
        <x:v>0</x:v>
      </x:c>
      <x:c r="K156" s="51" t="n">
        <x:v>0</x:v>
      </x:c>
      <x:c r="L156" s="51" t="str"/>
      <x:c r="M156" s="51" t="str"/>
      <x:c r="N156" s="39" t="str">
        <x:v>A narrow black root with a bright white core that numbs the knife used to cut it. It smells of licorice, wet iron, and bitter medicine.</x:v>
      </x:c>
    </x:row>
    <x:row r="157">
      <x:c r="A157" s="38" t="str">
        <x:v>Core</x:v>
      </x:c>
      <x:c r="B157" s="51" t="str">
        <x:v>Venom / Poison Plant</x:v>
      </x:c>
      <x:c r="C157" s="51" t="str">
        <x:v>Rare</x:v>
      </x:c>
      <x:c r="D157" s="51" t="str">
        <x:v>Nightfang Cap</x:v>
      </x:c>
      <x:c r="E157" s="51" t="n">
        <x:v>4</x:v>
      </x:c>
      <x:c r="F157" s="51" t="n">
        <x:v>0</x:v>
      </x:c>
      <x:c r="G157" s="51" t="n">
        <x:v>0</x:v>
      </x:c>
      <x:c r="H157" s="51" t="n">
        <x:v>0</x:v>
      </x:c>
      <x:c r="I157" s="51" t="n">
        <x:v>0</x:v>
      </x:c>
      <x:c r="J157" s="51" t="n">
        <x:v>0</x:v>
      </x:c>
      <x:c r="K157" s="51" t="n">
        <x:v>1</x:v>
      </x:c>
      <x:c r="L157" s="51" t="str"/>
      <x:c r="M157" s="51" t="str">
        <x:v>Poison, Venom, Paralysis</x:v>
      </x:c>
      <x:c r="N157" s="39" t="str">
        <x:v>A black mushroom cap with toothlike white ridges underneath. It smells of damp leather and sour metal.</x:v>
      </x:c>
    </x:row>
    <x:row r="158">
      <x:c r="A158" s="38" t="str">
        <x:v>Core</x:v>
      </x:c>
      <x:c r="B158" s="51" t="str">
        <x:v>Venom / Poison Plant</x:v>
      </x:c>
      <x:c r="C158" s="51" t="str">
        <x:v>Rare</x:v>
      </x:c>
      <x:c r="D158" s="51" t="str">
        <x:v>Purple Ichor Bloom</x:v>
      </x:c>
      <x:c r="E158" s="51" t="n">
        <x:v>4</x:v>
      </x:c>
      <x:c r="F158" s="51" t="n">
        <x:v>100</x:v>
      </x:c>
      <x:c r="G158" s="51" t="n">
        <x:v>0</x:v>
      </x:c>
      <x:c r="H158" s="51" t="n">
        <x:v>0</x:v>
      </x:c>
      <x:c r="I158" s="51" t="n">
        <x:v>0</x:v>
      </x:c>
      <x:c r="J158" s="51" t="n">
        <x:v>0</x:v>
      </x:c>
      <x:c r="K158" s="51" t="n">
        <x:v>0</x:v>
      </x:c>
      <x:c r="L158" s="51" t="str"/>
      <x:c r="M158" s="51" t="str"/>
      <x:c r="N158" s="39" t="str">
        <x:v>A bruised purple flower that seeps dark nectar. It smells sweet, rotten, and alchemically sharp.</x:v>
      </x:c>
    </x:row>
    <x:row r="159">
      <x:c r="A159" s="38" t="str">
        <x:v>Core</x:v>
      </x:c>
      <x:c r="B159" s="51" t="str">
        <x:v>Venom / Poison Plant</x:v>
      </x:c>
      <x:c r="C159" s="51" t="str">
        <x:v>Rare</x:v>
      </x:c>
      <x:c r="D159" s="51" t="str">
        <x:v>Widow's Crown Bloom</x:v>
      </x:c>
      <x:c r="E159" s="51" t="n">
        <x:v>4</x:v>
      </x:c>
      <x:c r="F159" s="51" t="n">
        <x:v>0</x:v>
      </x:c>
      <x:c r="G159" s="51" t="n">
        <x:v>50</x:v>
      </x:c>
      <x:c r="H159" s="51" t="n">
        <x:v>0</x:v>
      </x:c>
      <x:c r="I159" s="51" t="n">
        <x:v>0</x:v>
      </x:c>
      <x:c r="J159" s="51" t="n">
        <x:v>1</x:v>
      </x:c>
      <x:c r="K159" s="51" t="n">
        <x:v>0</x:v>
      </x:c>
      <x:c r="L159" s="51" t="str"/>
      <x:c r="M159" s="51" t="str"/>
      <x:c r="N159" s="39" t="str">
        <x:v>A black flower ringed by crimson hook-shaped petals. It smells of overripe fruit and iron, and its sticky pollen makes the pulse flutter.</x:v>
      </x:c>
    </x:row>
    <x:row r="160">
      <x:c r="A160" s="38" t="str">
        <x:v>Core</x:v>
      </x:c>
      <x:c r="B160" s="51" t="str">
        <x:v>Venom / Poison Plant</x:v>
      </x:c>
      <x:c r="C160" s="51" t="str">
        <x:v>Very Rare</x:v>
      </x:c>
      <x:c r="D160" s="51" t="str">
        <x:v>Black Lotus Venom</x:v>
      </x:c>
      <x:c r="E160" s="51" t="n">
        <x:v>6</x:v>
      </x:c>
      <x:c r="F160" s="51" t="n">
        <x:v>125</x:v>
      </x:c>
      <x:c r="G160" s="51" t="n">
        <x:v>0</x:v>
      </x:c>
      <x:c r="H160" s="51" t="n">
        <x:v>0</x:v>
      </x:c>
      <x:c r="I160" s="51" t="n">
        <x:v>0</x:v>
      </x:c>
      <x:c r="J160" s="51" t="n">
        <x:v>0</x:v>
      </x:c>
      <x:c r="K160" s="51" t="n">
        <x:v>0</x:v>
      </x:c>
      <x:c r="L160" s="51" t="str"/>
      <x:c r="M160" s="51" t="str"/>
      <x:c r="N160" s="39" t="str">
        <x:v>A black lotus distillate in thick glossy drops. It smells floral, poisonous, and almost hypnotic.</x:v>
      </x:c>
    </x:row>
    <x:row r="161">
      <x:c r="A161" s="38" t="str">
        <x:v>Core</x:v>
      </x:c>
      <x:c r="B161" s="51" t="str">
        <x:v>Venom / Poison Plant</x:v>
      </x:c>
      <x:c r="C161" s="51" t="str">
        <x:v>Very Rare</x:v>
      </x:c>
      <x:c r="D161" s="51" t="str">
        <x:v>Medusa Orchid</x:v>
      </x:c>
      <x:c r="E161" s="51" t="n">
        <x:v>6</x:v>
      </x:c>
      <x:c r="F161" s="51" t="n">
        <x:v>25</x:v>
      </x:c>
      <x:c r="G161" s="51" t="n">
        <x:v>0</x:v>
      </x:c>
      <x:c r="H161" s="51" t="n">
        <x:v>0</x:v>
      </x:c>
      <x:c r="I161" s="51" t="n">
        <x:v>0</x:v>
      </x:c>
      <x:c r="J161" s="51" t="n">
        <x:v>3</x:v>
      </x:c>
      <x:c r="K161" s="51" t="n">
        <x:v>0</x:v>
      </x:c>
      <x:c r="L161" s="51" t="str"/>
      <x:c r="M161" s="51" t="str">
        <x:v>Petrification, Stone</x:v>
      </x:c>
      <x:c r="N161" s="39" t="str">
        <x:v>A green-gold orchid whose petals resemble tiny coiling serpents. It feels cold and waxy, smells of stone dust and bitter perfume, and stiffens insects that touch its nectar.</x:v>
      </x:c>
    </x:row>
    <x:row r="162">
      <x:c r="A162" s="38" t="str">
        <x:v>Core</x:v>
      </x:c>
      <x:c r="B162" s="51" t="str">
        <x:v>Venom / Poison Plant</x:v>
      </x:c>
      <x:c r="C162" s="51" t="str">
        <x:v>Very Rare</x:v>
      </x:c>
      <x:c r="D162" s="51" t="str">
        <x:v>Queen Asp Bloom</x:v>
      </x:c>
      <x:c r="E162" s="51" t="n">
        <x:v>6</x:v>
      </x:c>
      <x:c r="F162" s="51" t="n">
        <x:v>25</x:v>
      </x:c>
      <x:c r="G162" s="51" t="n">
        <x:v>0</x:v>
      </x:c>
      <x:c r="H162" s="51" t="n">
        <x:v>0</x:v>
      </x:c>
      <x:c r="I162" s="51" t="n">
        <x:v>0</x:v>
      </x:c>
      <x:c r="J162" s="51" t="n">
        <x:v>0</x:v>
      </x:c>
      <x:c r="K162" s="51" t="n">
        <x:v>1</x:v>
      </x:c>
      <x:c r="L162" s="51" t="str"/>
      <x:c r="M162" s="51" t="str"/>
      <x:c r="N162" s="39" t="str">
        <x:v>A black-and-gold flower whose central petals resemble a coiled serpent. Its pollen prickles the skin and smells of jasmine, venom, and hot stone.</x:v>
      </x:c>
    </x:row>
    <x:row r="163">
      <x:c r="A163" s="38" t="str">
        <x:v>Core</x:v>
      </x:c>
      <x:c r="B163" s="51" t="str">
        <x:v>Venom / Poison Plant</x:v>
      </x:c>
      <x:c r="C163" s="51" t="str">
        <x:v>Very Rare</x:v>
      </x:c>
      <x:c r="D163" s="51" t="str">
        <x:v>Wormwood Queen</x:v>
      </x:c>
      <x:c r="E163" s="51" t="n">
        <x:v>6</x:v>
      </x:c>
      <x:c r="F163" s="51" t="n">
        <x:v>75</x:v>
      </x:c>
      <x:c r="G163" s="51" t="n">
        <x:v>0</x:v>
      </x:c>
      <x:c r="H163" s="51" t="n">
        <x:v>0</x:v>
      </x:c>
      <x:c r="I163" s="51" t="n">
        <x:v>0</x:v>
      </x:c>
      <x:c r="J163" s="51" t="n">
        <x:v>2</x:v>
      </x:c>
      <x:c r="K163" s="51" t="n">
        <x:v>0</x:v>
      </x:c>
      <x:c r="L163" s="51" t="str"/>
      <x:c r="M163" s="51" t="str"/>
      <x:c r="N163" s="39" t="str">
        <x:v>A tall silver-green wormwood crown with bitter pollen. It smells medicinal, royal, and dangerously clean.</x:v>
      </x:c>
    </x:row>
    <x:row r="164">
      <x:c r="A164" s="38" t="str">
        <x:v>Fourth Slot</x:v>
      </x:c>
      <x:c r="B164" s="51" t="str">
        <x:v>Essence</x:v>
      </x:c>
      <x:c r="C164" s="51" t="str">
        <x:v>Uncommon</x:v>
      </x:c>
      <x:c r="D164" s="51" t="str">
        <x:v>Acidic Essence</x:v>
      </x:c>
      <x:c r="E164" s="51" t="n">
        <x:v>0</x:v>
      </x:c>
      <x:c r="F164" s="51" t="n">
        <x:v>0</x:v>
      </x:c>
      <x:c r="G164" s="51" t="n">
        <x:v>0</x:v>
      </x:c>
      <x:c r="H164" s="51" t="n">
        <x:v>0</x:v>
      </x:c>
      <x:c r="I164" s="51" t="n">
        <x:v>0</x:v>
      </x:c>
      <x:c r="J164" s="51" t="n">
        <x:v>0</x:v>
      </x:c>
      <x:c r="K164" s="51" t="n">
        <x:v>0</x:v>
      </x:c>
      <x:c r="L164" s="51" t="str">
        <x:v>acid</x:v>
      </x:c>
      <x:c r="M164" s="51" t="str">
        <x:v>Acid</x:v>
      </x:c>
      <x:c r="N164" s="39" t="str">
        <x:v>A yellow-green essence that etches faint rings in cheap glass. It smells sour, sharp, and mineral.</x:v>
      </x:c>
    </x:row>
    <x:row r="165">
      <x:c r="A165" s="38" t="str">
        <x:v>Fourth Slot</x:v>
      </x:c>
      <x:c r="B165" s="51" t="str">
        <x:v>Essence</x:v>
      </x:c>
      <x:c r="C165" s="51" t="str">
        <x:v>Uncommon</x:v>
      </x:c>
      <x:c r="D165" s="51" t="str">
        <x:v>Fire Essence</x:v>
      </x:c>
      <x:c r="E165" s="51" t="n">
        <x:v>0</x:v>
      </x:c>
      <x:c r="F165" s="51" t="n">
        <x:v>0</x:v>
      </x:c>
      <x:c r="G165" s="51" t="n">
        <x:v>0</x:v>
      </x:c>
      <x:c r="H165" s="51" t="n">
        <x:v>0</x:v>
      </x:c>
      <x:c r="I165" s="51" t="n">
        <x:v>0</x:v>
      </x:c>
      <x:c r="J165" s="51" t="n">
        <x:v>0</x:v>
      </x:c>
      <x:c r="K165" s="51" t="n">
        <x:v>0</x:v>
      </x:c>
      <x:c r="L165" s="51" t="str">
        <x:v>fire</x:v>
      </x:c>
      <x:c r="M165" s="51" t="str">
        <x:v>Fire</x:v>
      </x:c>
      <x:c r="N165" s="39" t="str">
        <x:v>A red-orange essence that flickers inside the vial like a banked coal. It smells of hot iron, ash, and pepper smoke.</x:v>
      </x:c>
    </x:row>
    <x:row r="166">
      <x:c r="A166" s="38" t="str">
        <x:v>Fourth Slot</x:v>
      </x:c>
      <x:c r="B166" s="51" t="str">
        <x:v>Essence</x:v>
      </x:c>
      <x:c r="C166" s="51" t="str">
        <x:v>Uncommon</x:v>
      </x:c>
      <x:c r="D166" s="51" t="str">
        <x:v>Frost Essence</x:v>
      </x:c>
      <x:c r="E166" s="51" t="n">
        <x:v>0</x:v>
      </x:c>
      <x:c r="F166" s="51" t="n">
        <x:v>0</x:v>
      </x:c>
      <x:c r="G166" s="51" t="n">
        <x:v>0</x:v>
      </x:c>
      <x:c r="H166" s="51" t="n">
        <x:v>0</x:v>
      </x:c>
      <x:c r="I166" s="51" t="n">
        <x:v>0</x:v>
      </x:c>
      <x:c r="J166" s="51" t="n">
        <x:v>0</x:v>
      </x:c>
      <x:c r="K166" s="51" t="n">
        <x:v>0</x:v>
      </x:c>
      <x:c r="L166" s="51" t="str">
        <x:v>cold</x:v>
      </x:c>
      <x:c r="M166" s="51" t="str">
        <x:v>Cold</x:v>
      </x:c>
      <x:c r="N166" s="39" t="str">
        <x:v>A pale blue essence rimed with frost even in summer. The glass sweats cold and smells of snow and mint.</x:v>
      </x:c>
    </x:row>
    <x:row r="167">
      <x:c r="A167" s="38" t="str">
        <x:v>Fourth Slot</x:v>
      </x:c>
      <x:c r="B167" s="51" t="str">
        <x:v>Essence</x:v>
      </x:c>
      <x:c r="C167" s="51" t="str">
        <x:v>Rare</x:v>
      </x:c>
      <x:c r="D167" s="51" t="str">
        <x:v>Grave Essence</x:v>
      </x:c>
      <x:c r="E167" s="51" t="n">
        <x:v>0</x:v>
      </x:c>
      <x:c r="F167" s="51" t="n">
        <x:v>0</x:v>
      </x:c>
      <x:c r="G167" s="51" t="n">
        <x:v>0</x:v>
      </x:c>
      <x:c r="H167" s="51" t="n">
        <x:v>0</x:v>
      </x:c>
      <x:c r="I167" s="51" t="n">
        <x:v>0</x:v>
      </x:c>
      <x:c r="J167" s="51" t="n">
        <x:v>1</x:v>
      </x:c>
      <x:c r="K167" s="51" t="n">
        <x:v>0</x:v>
      </x:c>
      <x:c r="L167" s="51" t="str">
        <x:v>necrotic</x:v>
      </x:c>
      <x:c r="M167" s="51" t="str">
        <x:v>Necrotic, Death</x:v>
      </x:c>
      <x:c r="N167" s="39" t="str">
        <x:v>A smoky gray essence that sinks to the bottom of any mixture. It smells of cold stone and spent incense.</x:v>
      </x:c>
    </x:row>
    <x:row r="168">
      <x:c r="A168" s="38" t="str">
        <x:v>Fourth Slot</x:v>
      </x:c>
      <x:c r="B168" s="51" t="str">
        <x:v>Essence</x:v>
      </x:c>
      <x:c r="C168" s="51" t="str">
        <x:v>Rare</x:v>
      </x:c>
      <x:c r="D168" s="51" t="str">
        <x:v>Mindshard Distillate</x:v>
      </x:c>
      <x:c r="E168" s="51" t="n">
        <x:v>0</x:v>
      </x:c>
      <x:c r="F168" s="51" t="n">
        <x:v>0</x:v>
      </x:c>
      <x:c r="G168" s="51" t="n">
        <x:v>0</x:v>
      </x:c>
      <x:c r="H168" s="51" t="n">
        <x:v>0</x:v>
      </x:c>
      <x:c r="I168" s="51" t="n">
        <x:v>0</x:v>
      </x:c>
      <x:c r="J168" s="51" t="n">
        <x:v>1</x:v>
      </x:c>
      <x:c r="K168" s="51" t="n">
        <x:v>0</x:v>
      </x:c>
      <x:c r="L168" s="51" t="str">
        <x:v>psychic</x:v>
      </x:c>
      <x:c r="M168" s="51" t="str">
        <x:v>Psychic, Confusion, Mind</x:v>
      </x:c>
      <x:c r="N168" s="39" t="str">
        <x:v>A violet liquid holding tiny mirrored flakes that turn toward nearby thoughts. It tastes metallic, smells of ozone and ink, and makes reflected faces seem unfamiliar.</x:v>
      </x:c>
    </x:row>
    <x:row r="169">
      <x:c r="A169" s="38" t="str">
        <x:v>Fourth Slot</x:v>
      </x:c>
      <x:c r="B169" s="51" t="str">
        <x:v>Essence</x:v>
      </x:c>
      <x:c r="C169" s="51" t="str">
        <x:v>Rare</x:v>
      </x:c>
      <x:c r="D169" s="51" t="str">
        <x:v>Psychic Essence</x:v>
      </x:c>
      <x:c r="E169" s="51" t="n">
        <x:v>0</x:v>
      </x:c>
      <x:c r="F169" s="51" t="n">
        <x:v>0</x:v>
      </x:c>
      <x:c r="G169" s="51" t="n">
        <x:v>0</x:v>
      </x:c>
      <x:c r="H169" s="51" t="n">
        <x:v>0</x:v>
      </x:c>
      <x:c r="I169" s="51" t="n">
        <x:v>0</x:v>
      </x:c>
      <x:c r="J169" s="51" t="n">
        <x:v>1</x:v>
      </x:c>
      <x:c r="K169" s="51" t="n">
        <x:v>0</x:v>
      </x:c>
      <x:c r="L169" s="51" t="str">
        <x:v>psychic</x:v>
      </x:c>
      <x:c r="M169" s="51" t="str">
        <x:v>Psychic, Mind</x:v>
      </x:c>
      <x:c r="N169" s="39" t="str">
        <x:v>A clear violet essence that seems to move when unobserved. It smells faintly of lavender and old ink.</x:v>
      </x:c>
    </x:row>
    <x:row r="170">
      <x:c r="A170" s="38" t="str">
        <x:v>Fourth Slot</x:v>
      </x:c>
      <x:c r="B170" s="51" t="str">
        <x:v>Essence</x:v>
      </x:c>
      <x:c r="C170" s="51" t="str">
        <x:v>Rare</x:v>
      </x:c>
      <x:c r="D170" s="51" t="str">
        <x:v>Radiant Essence</x:v>
      </x:c>
      <x:c r="E170" s="51" t="n">
        <x:v>0</x:v>
      </x:c>
      <x:c r="F170" s="51" t="n">
        <x:v>25</x:v>
      </x:c>
      <x:c r="G170" s="51" t="n">
        <x:v>0</x:v>
      </x:c>
      <x:c r="H170" s="51" t="n">
        <x:v>0</x:v>
      </x:c>
      <x:c r="I170" s="51" t="n">
        <x:v>0</x:v>
      </x:c>
      <x:c r="J170" s="51" t="n">
        <x:v>0</x:v>
      </x:c>
      <x:c r="K170" s="51" t="n">
        <x:v>0</x:v>
      </x:c>
      <x:c r="L170" s="51" t="str">
        <x:v>radiant</x:v>
      </x:c>
      <x:c r="M170" s="51" t="str">
        <x:v>Radiant, Holy</x:v>
      </x:c>
      <x:c r="N170" s="39" t="str">
        <x:v>A warm golden essence that brightens nearby liquid. It smells of sunlit linen, wax, and clean air.</x:v>
      </x:c>
    </x:row>
    <x:row r="171">
      <x:c r="A171" s="38" t="str">
        <x:v>Fourth Slot</x:v>
      </x:c>
      <x:c r="B171" s="51" t="str">
        <x:v>Essence</x:v>
      </x:c>
      <x:c r="C171" s="51" t="str">
        <x:v>Rare</x:v>
      </x:c>
      <x:c r="D171" s="51" t="str">
        <x:v>Storm Essence</x:v>
      </x:c>
      <x:c r="E171" s="51" t="n">
        <x:v>0</x:v>
      </x:c>
      <x:c r="F171" s="51" t="n">
        <x:v>0</x:v>
      </x:c>
      <x:c r="G171" s="51" t="n">
        <x:v>0</x:v>
      </x:c>
      <x:c r="H171" s="51" t="n">
        <x:v>0</x:v>
      </x:c>
      <x:c r="I171" s="51" t="n">
        <x:v>0</x:v>
      </x:c>
      <x:c r="J171" s="51" t="n">
        <x:v>0</x:v>
      </x:c>
      <x:c r="K171" s="51" t="n">
        <x:v>1</x:v>
      </x:c>
      <x:c r="L171" s="51" t="str">
        <x:v>lightning</x:v>
      </x:c>
      <x:c r="M171" s="51" t="str">
        <x:v>Lightning, Thunder</x:v>
      </x:c>
      <x:c r="N171" s="39" t="str">
        <x:v>A violet-blue essence crawling with tiny sparks. It hums softly and smells of rain striking metal.</x:v>
      </x:c>
    </x:row>
    <x:row r="172">
      <x:c r="A172" s="38" t="str">
        <x:v>Fourth Slot</x:v>
      </x:c>
      <x:c r="B172" s="51" t="str">
        <x:v>Essence</x:v>
      </x:c>
      <x:c r="C172" s="51" t="str">
        <x:v>Very Rare</x:v>
      </x:c>
      <x:c r="D172" s="51" t="str">
        <x:v>Force Shard</x:v>
      </x:c>
      <x:c r="E172" s="51" t="n">
        <x:v>0</x:v>
      </x:c>
      <x:c r="F172" s="51" t="n">
        <x:v>0</x:v>
      </x:c>
      <x:c r="G172" s="51" t="n">
        <x:v>0</x:v>
      </x:c>
      <x:c r="H172" s="51" t="n">
        <x:v>0</x:v>
      </x:c>
      <x:c r="I172" s="51" t="n">
        <x:v>0</x:v>
      </x:c>
      <x:c r="J172" s="51" t="n">
        <x:v>0</x:v>
      </x:c>
      <x:c r="K172" s="51" t="n">
        <x:v>1</x:v>
      </x:c>
      <x:c r="L172" s="51" t="str">
        <x:v>force</x:v>
      </x:c>
      <x:c r="M172" s="51" t="str">
        <x:v>Force</x:v>
      </x:c>
      <x:c r="N172" s="39" t="str">
        <x:v>A hard translucent shard suspended in clear fluid. It clicks against the vial without touching the glass.</x:v>
      </x:c>
    </x:row>
    <x:row r="173">
      <x:c r="A173" s="38" t="str">
        <x:v>Fourth Slot</x:v>
      </x:c>
      <x:c r="B173" s="51" t="str">
        <x:v>Enhancer / Catalyst</x:v>
      </x:c>
      <x:c r="C173" s="51" t="str">
        <x:v>Uncommon</x:v>
      </x:c>
      <x:c r="D173" s="51" t="str">
        <x:v>Binding Agent</x:v>
      </x:c>
      <x:c r="E173" s="51" t="n">
        <x:v>0</x:v>
      </x:c>
      <x:c r="F173" s="51" t="n">
        <x:v>0</x:v>
      </x:c>
      <x:c r="G173" s="51" t="n">
        <x:v>50</x:v>
      </x:c>
      <x:c r="H173" s="51" t="n">
        <x:v>0</x:v>
      </x:c>
      <x:c r="I173" s="51" t="n">
        <x:v>0</x:v>
      </x:c>
      <x:c r="J173" s="51" t="n">
        <x:v>0</x:v>
      </x:c>
      <x:c r="K173" s="51" t="n">
        <x:v>0</x:v>
      </x:c>
      <x:c r="L173" s="51" t="str"/>
      <x:c r="M173" s="51" t="str">
        <x:v>Binding, Restraint</x:v>
      </x:c>
      <x:c r="N173" s="39" t="str">
        <x:v>A thick blue binder that slows every swirl in the beaker. It smells of clay, wax, and powdered chalk.</x:v>
      </x:c>
    </x:row>
    <x:row r="174">
      <x:c r="A174" s="38" t="str">
        <x:v>Fourth Slot</x:v>
      </x:c>
      <x:c r="B174" s="51" t="str">
        <x:v>Enhancer / Catalyst</x:v>
      </x:c>
      <x:c r="C174" s="51" t="str">
        <x:v>Uncommon</x:v>
      </x:c>
      <x:c r="D174" s="51" t="str">
        <x:v>Clear-Eye Distillate</x:v>
      </x:c>
      <x:c r="E174" s="51" t="n">
        <x:v>0</x:v>
      </x:c>
      <x:c r="F174" s="51" t="n">
        <x:v>0</x:v>
      </x:c>
      <x:c r="G174" s="51" t="n">
        <x:v>0</x:v>
      </x:c>
      <x:c r="H174" s="51" t="n">
        <x:v>0</x:v>
      </x:c>
      <x:c r="I174" s="51" t="n">
        <x:v>0</x:v>
      </x:c>
      <x:c r="J174" s="51" t="n">
        <x:v>0</x:v>
      </x:c>
      <x:c r="K174" s="51" t="n">
        <x:v>0</x:v>
      </x:c>
      <x:c r="L174" s="51" t="str"/>
      <x:c r="M174" s="51" t="str">
        <x:v>Blindness</x:v>
      </x:c>
      <x:c r="N174" s="39" t="str">
        <x:v>A colorless distillate that flashes silver when held to the light. It smells of clean rain and crushed mint, and leaves the tongue cool and sharply focused.</x:v>
      </x:c>
    </x:row>
    <x:row r="175">
      <x:c r="A175" s="38" t="str">
        <x:v>Fourth Slot</x:v>
      </x:c>
      <x:c r="B175" s="51" t="str">
        <x:v>Enhancer / Catalyst</x:v>
      </x:c>
      <x:c r="C175" s="51" t="str">
        <x:v>Uncommon</x:v>
      </x:c>
      <x:c r="D175" s="51" t="str">
        <x:v>Distillation Agent</x:v>
      </x:c>
      <x:c r="E175" s="51" t="n">
        <x:v>0</x:v>
      </x:c>
      <x:c r="F175" s="51" t="n">
        <x:v>0</x:v>
      </x:c>
      <x:c r="G175" s="51" t="n">
        <x:v>0</x:v>
      </x:c>
      <x:c r="H175" s="51" t="n">
        <x:v>0</x:v>
      </x:c>
      <x:c r="I175" s="51" t="n">
        <x:v>1</x:v>
      </x:c>
      <x:c r="J175" s="51" t="n">
        <x:v>0</x:v>
      </x:c>
      <x:c r="K175" s="51" t="n">
        <x:v>0</x:v>
      </x:c>
      <x:c r="L175" s="51" t="str"/>
      <x:c r="M175" s="51" t="str"/>
      <x:c r="N175" s="39" t="str">
        <x:v>A bright additive with tiny bubbles that climb upward forever. It smells of alcohol, copper, and hot glass.</x:v>
      </x:c>
    </x:row>
    <x:row r="176">
      <x:c r="A176" s="38" t="str">
        <x:v>Fourth Slot</x:v>
      </x:c>
      <x:c r="B176" s="51" t="str">
        <x:v>Enhancer / Catalyst</x:v>
      </x:c>
      <x:c r="C176" s="51" t="str">
        <x:v>Uncommon</x:v>
      </x:c>
      <x:c r="D176" s="51" t="str">
        <x:v>Heartward Counteragent</x:v>
      </x:c>
      <x:c r="E176" s="51" t="n">
        <x:v>0</x:v>
      </x:c>
      <x:c r="F176" s="51" t="n">
        <x:v>0</x:v>
      </x:c>
      <x:c r="G176" s="51" t="n">
        <x:v>0</x:v>
      </x:c>
      <x:c r="H176" s="51" t="n">
        <x:v>0</x:v>
      </x:c>
      <x:c r="I176" s="51" t="n">
        <x:v>0</x:v>
      </x:c>
      <x:c r="J176" s="51" t="n">
        <x:v>0</x:v>
      </x:c>
      <x:c r="K176" s="51" t="n">
        <x:v>0</x:v>
      </x:c>
      <x:c r="L176" s="51" t="str"/>
      <x:c r="M176" s="51" t="str">
        <x:v>Charm</x:v>
      </x:c>
      <x:c r="N176" s="39" t="str">
        <x:v>A rose-gold syrup that beads instead of running. It smells of cedar, bitter orange, and warm wax, and leaves a steadying warmth behind the breastbone.</x:v>
      </x:c>
    </x:row>
    <x:row r="177">
      <x:c r="A177" s="38" t="str">
        <x:v>Fourth Slot</x:v>
      </x:c>
      <x:c r="B177" s="51" t="str">
        <x:v>Enhancer / Catalyst</x:v>
      </x:c>
      <x:c r="C177" s="51" t="str">
        <x:v>Uncommon</x:v>
      </x:c>
      <x:c r="D177" s="51" t="str">
        <x:v>Lionheart Catalyst</x:v>
      </x:c>
      <x:c r="E177" s="51" t="n">
        <x:v>0</x:v>
      </x:c>
      <x:c r="F177" s="51" t="n">
        <x:v>0</x:v>
      </x:c>
      <x:c r="G177" s="51" t="n">
        <x:v>0</x:v>
      </x:c>
      <x:c r="H177" s="51" t="n">
        <x:v>0</x:v>
      </x:c>
      <x:c r="I177" s="51" t="n">
        <x:v>0</x:v>
      </x:c>
      <x:c r="J177" s="51" t="n">
        <x:v>0</x:v>
      </x:c>
      <x:c r="K177" s="51" t="n">
        <x:v>0</x:v>
      </x:c>
      <x:c r="L177" s="51" t="str"/>
      <x:c r="M177" s="51" t="str">
        <x:v>Fear</x:v>
      </x:c>
      <x:c r="N177" s="39" t="str">
        <x:v>A bright amber powder that crackles softly between the fingers. It smells of sun-warmed grass, pepper, and iron, and tastes intensely hot without burning.</x:v>
      </x:c>
    </x:row>
    <x:row r="178">
      <x:c r="A178" s="38" t="str">
        <x:v>Fourth Slot</x:v>
      </x:c>
      <x:c r="B178" s="51" t="str">
        <x:v>Enhancer / Catalyst</x:v>
      </x:c>
      <x:c r="C178" s="51" t="str">
        <x:v>Uncommon</x:v>
      </x:c>
      <x:c r="D178" s="51" t="str">
        <x:v>Mindanchor Tincture</x:v>
      </x:c>
      <x:c r="E178" s="51" t="n">
        <x:v>0</x:v>
      </x:c>
      <x:c r="F178" s="51" t="n">
        <x:v>0</x:v>
      </x:c>
      <x:c r="G178" s="51" t="n">
        <x:v>0</x:v>
      </x:c>
      <x:c r="H178" s="51" t="n">
        <x:v>0</x:v>
      </x:c>
      <x:c r="I178" s="51" t="n">
        <x:v>0</x:v>
      </x:c>
      <x:c r="J178" s="51" t="n">
        <x:v>0</x:v>
      </x:c>
      <x:c r="K178" s="51" t="n">
        <x:v>0</x:v>
      </x:c>
      <x:c r="L178" s="51" t="str"/>
      <x:c r="M178" s="51" t="str">
        <x:v>Confusion</x:v>
      </x:c>
      <x:c r="N178" s="39" t="str">
        <x:v>A violet tincture with tiny crystal motes that align when the vial is still. It smells of rosemary, old paper, and cold stone.</x:v>
      </x:c>
    </x:row>
    <x:row r="179">
      <x:c r="A179" s="38" t="str">
        <x:v>Fourth Slot</x:v>
      </x:c>
      <x:c r="B179" s="51" t="str">
        <x:v>Enhancer / Catalyst</x:v>
      </x:c>
      <x:c r="C179" s="51" t="str">
        <x:v>Uncommon</x:v>
      </x:c>
      <x:c r="D179" s="51" t="str">
        <x:v>Purity Counteragent</x:v>
      </x:c>
      <x:c r="E179" s="51" t="n">
        <x:v>0</x:v>
      </x:c>
      <x:c r="F179" s="51" t="n">
        <x:v>0</x:v>
      </x:c>
      <x:c r="G179" s="51" t="n">
        <x:v>0</x:v>
      </x:c>
      <x:c r="H179" s="51" t="n">
        <x:v>0</x:v>
      </x:c>
      <x:c r="I179" s="51" t="n">
        <x:v>0</x:v>
      </x:c>
      <x:c r="J179" s="51" t="n">
        <x:v>0</x:v>
      </x:c>
      <x:c r="K179" s="51" t="n">
        <x:v>0</x:v>
      </x:c>
      <x:c r="L179" s="51" t="str"/>
      <x:c r="M179" s="51" t="str">
        <x:v>Poison</x:v>
      </x:c>
      <x:c r="N179" s="39" t="str">
        <x:v>A clear green concentrate with a clean bitter scent of pine needles, salt, and cut citrus. A single drop turns cloudy near common toxins.</x:v>
      </x:c>
    </x:row>
    <x:row r="180">
      <x:c r="A180" s="38" t="str">
        <x:v>Fourth Slot</x:v>
      </x:c>
      <x:c r="B180" s="51" t="str">
        <x:v>Enhancer / Catalyst</x:v>
      </x:c>
      <x:c r="C180" s="51" t="str">
        <x:v>Rare</x:v>
      </x:c>
      <x:c r="D180" s="51" t="str">
        <x:v>Concentrating Agent</x:v>
      </x:c>
      <x:c r="E180" s="51" t="n">
        <x:v>0</x:v>
      </x:c>
      <x:c r="F180" s="51" t="n">
        <x:v>50</x:v>
      </x:c>
      <x:c r="G180" s="51" t="n">
        <x:v>0</x:v>
      </x:c>
      <x:c r="H180" s="51" t="n">
        <x:v>0</x:v>
      </x:c>
      <x:c r="I180" s="51" t="n">
        <x:v>0</x:v>
      </x:c>
      <x:c r="J180" s="51" t="n">
        <x:v>0</x:v>
      </x:c>
      <x:c r="K180" s="51" t="n">
        <x:v>0</x:v>
      </x:c>
      <x:c r="L180" s="51" t="str"/>
      <x:c r="M180" s="51" t="str"/>
      <x:c r="N180" s="39" t="str">
        <x:v>A dark drop that pulls color toward itself in a mixture. It smells bitter, hot, and focused.</x:v>
      </x:c>
    </x:row>
    <x:row r="181">
      <x:c r="A181" s="38" t="str">
        <x:v>Fourth Slot</x:v>
      </x:c>
      <x:c r="B181" s="51" t="str">
        <x:v>Enhancer / Catalyst</x:v>
      </x:c>
      <x:c r="C181" s="51" t="str">
        <x:v>Rare</x:v>
      </x:c>
      <x:c r="D181" s="51" t="str">
        <x:v>Freedom Resin</x:v>
      </x:c>
      <x:c r="E181" s="51" t="n">
        <x:v>0</x:v>
      </x:c>
      <x:c r="F181" s="51" t="n">
        <x:v>0</x:v>
      </x:c>
      <x:c r="G181" s="51" t="n">
        <x:v>0</x:v>
      </x:c>
      <x:c r="H181" s="51" t="n">
        <x:v>0</x:v>
      </x:c>
      <x:c r="I181" s="51" t="n">
        <x:v>0</x:v>
      </x:c>
      <x:c r="J181" s="51" t="n">
        <x:v>0</x:v>
      </x:c>
      <x:c r="K181" s="51" t="n">
        <x:v>0</x:v>
      </x:c>
      <x:c r="L181" s="51" t="str"/>
      <x:c r="M181" s="51" t="str">
        <x:v>Restraint</x:v>
      </x:c>
      <x:c r="N181" s="39" t="str">
        <x:v>A slippery silver resin that refuses to cling to knots or rough surfaces. It smells of river reeds, soaproot, and cold wind.</x:v>
      </x:c>
    </x:row>
    <x:row r="182">
      <x:c r="A182" s="38" t="str">
        <x:v>Fourth Slot</x:v>
      </x:c>
      <x:c r="B182" s="51" t="str">
        <x:v>Enhancer / Catalyst</x:v>
      </x:c>
      <x:c r="C182" s="51" t="str">
        <x:v>Rare</x:v>
      </x:c>
      <x:c r="D182" s="51" t="str">
        <x:v>Nervewake Serum</x:v>
      </x:c>
      <x:c r="E182" s="51" t="n">
        <x:v>0</x:v>
      </x:c>
      <x:c r="F182" s="51" t="n">
        <x:v>0</x:v>
      </x:c>
      <x:c r="G182" s="51" t="n">
        <x:v>0</x:v>
      </x:c>
      <x:c r="H182" s="51" t="n">
        <x:v>0</x:v>
      </x:c>
      <x:c r="I182" s="51" t="n">
        <x:v>0</x:v>
      </x:c>
      <x:c r="J182" s="51" t="n">
        <x:v>0</x:v>
      </x:c>
      <x:c r="K182" s="51" t="n">
        <x:v>0</x:v>
      </x:c>
      <x:c r="L182" s="51" t="str"/>
      <x:c r="M182" s="51" t="str">
        <x:v>Paralysis</x:v>
      </x:c>
      <x:c r="N182" s="39" t="str">
        <x:v>A pale blue serum that crawls up glass in branching lines. It smells of rain, copper, and sharp herbs, and tingles against the skin.</x:v>
      </x:c>
    </x:row>
    <x:row r="183">
      <x:c r="A183" s="38" t="str">
        <x:v>Fourth Slot</x:v>
      </x:c>
      <x:c r="B183" s="51" t="str">
        <x:v>Enhancer / Catalyst</x:v>
      </x:c>
      <x:c r="C183" s="51" t="str">
        <x:v>Rare</x:v>
      </x:c>
      <x:c r="D183" s="51" t="str">
        <x:v>Pure Catalyst</x:v>
      </x:c>
      <x:c r="E183" s="51" t="n">
        <x:v>0</x:v>
      </x:c>
      <x:c r="F183" s="51" t="n">
        <x:v>0</x:v>
      </x:c>
      <x:c r="G183" s="51" t="n">
        <x:v>0</x:v>
      </x:c>
      <x:c r="H183" s="51" t="n">
        <x:v>0</x:v>
      </x:c>
      <x:c r="I183" s="51" t="n">
        <x:v>0</x:v>
      </x:c>
      <x:c r="J183" s="51" t="n">
        <x:v>0</x:v>
      </x:c>
      <x:c r="K183" s="51" t="n">
        <x:v>0</x:v>
      </x:c>
      <x:c r="L183" s="51" t="str"/>
      <x:c r="M183" s="51" t="str"/>
      <x:c r="N183" s="39" t="str">
        <x:v>A perfectly clear catalyst that makes nearby mixtures settle into clean layers. It smells sterile and sharp.</x:v>
      </x:c>
    </x:row>
    <x:row r="184">
      <x:c r="A184" s="38" t="str">
        <x:v>Fourth Slot</x:v>
      </x:c>
      <x:c r="B184" s="51" t="str">
        <x:v>Enhancer / Catalyst</x:v>
      </x:c>
      <x:c r="C184" s="51" t="str">
        <x:v>Rare</x:v>
      </x:c>
      <x:c r="D184" s="51" t="str">
        <x:v>Stormground Serum</x:v>
      </x:c>
      <x:c r="E184" s="51" t="n">
        <x:v>0</x:v>
      </x:c>
      <x:c r="F184" s="51" t="n">
        <x:v>0</x:v>
      </x:c>
      <x:c r="G184" s="51" t="n">
        <x:v>0</x:v>
      </x:c>
      <x:c r="H184" s="51" t="n">
        <x:v>0</x:v>
      </x:c>
      <x:c r="I184" s="51" t="n">
        <x:v>0</x:v>
      </x:c>
      <x:c r="J184" s="51" t="n">
        <x:v>0</x:v>
      </x:c>
      <x:c r="K184" s="51" t="n">
        <x:v>0</x:v>
      </x:c>
      <x:c r="L184" s="51" t="str"/>
      <x:c r="M184" s="51" t="str">
        <x:v>Stunning</x:v>
      </x:c>
      <x:c r="N184" s="39" t="str">
        <x:v>A smoky gray serum with blue sparks that vanish when touched. It smells of ozone, wet earth, and bitter tea.</x:v>
      </x:c>
    </x:row>
    <x:row r="185">
      <x:c r="A185" s="38" t="str">
        <x:v>Fourth Slot</x:v>
      </x:c>
      <x:c r="B185" s="51" t="str">
        <x:v>Enhancer / Catalyst</x:v>
      </x:c>
      <x:c r="C185" s="51" t="str">
        <x:v>Rare</x:v>
      </x:c>
      <x:c r="D185" s="51" t="str">
        <x:v>Volatile Agent</x:v>
      </x:c>
      <x:c r="E185" s="51" t="n">
        <x:v>0</x:v>
      </x:c>
      <x:c r="F185" s="51" t="n">
        <x:v>0</x:v>
      </x:c>
      <x:c r="G185" s="51" t="n">
        <x:v>0</x:v>
      </x:c>
      <x:c r="H185" s="51" t="n">
        <x:v>0</x:v>
      </x:c>
      <x:c r="I185" s="51" t="n">
        <x:v>0</x:v>
      </x:c>
      <x:c r="J185" s="51" t="n">
        <x:v>0</x:v>
      </x:c>
      <x:c r="K185" s="51" t="n">
        <x:v>1</x:v>
      </x:c>
      <x:c r="L185" s="51" t="str"/>
      <x:c r="M185" s="51" t="str"/>
      <x:c r="N185" s="39" t="str">
        <x:v>A sealed red-black additive that ticks softly when shaken. It smells of sulfur, oil, and scorched metal.</x:v>
      </x:c>
    </x:row>
    <x:row r="186">
      <x:c r="A186" s="38" t="str">
        <x:v>Fourth Slot</x:v>
      </x:c>
      <x:c r="B186" s="51" t="str">
        <x:v>Enhancer / Catalyst</x:v>
      </x:c>
      <x:c r="C186" s="51" t="str">
        <x:v>Very Rare</x:v>
      </x:c>
      <x:c r="D186" s="51" t="str">
        <x:v>Stonebreaker Solvent</x:v>
      </x:c>
      <x:c r="E186" s="51" t="n">
        <x:v>0</x:v>
      </x:c>
      <x:c r="F186" s="51" t="n">
        <x:v>0</x:v>
      </x:c>
      <x:c r="G186" s="51" t="n">
        <x:v>0</x:v>
      </x:c>
      <x:c r="H186" s="51" t="n">
        <x:v>0</x:v>
      </x:c>
      <x:c r="I186" s="51" t="n">
        <x:v>0</x:v>
      </x:c>
      <x:c r="J186" s="51" t="n">
        <x:v>0</x:v>
      </x:c>
      <x:c r="K186" s="51" t="n">
        <x:v>0</x:v>
      </x:c>
      <x:c r="L186" s="51" t="str"/>
      <x:c r="M186" s="51" t="str">
        <x:v>Petrification</x:v>
      </x:c>
      <x:c r="N186" s="39" t="str">
        <x:v>A pearlescent solvent that makes mineral dust hiss and loosen. It smells of lightning-struck stone, vinegar, and white flowers.</x:v>
      </x:c>
    </x:row>
    <x:row r="187">
      <x:c r="A187" s="38" t="str">
        <x:v>Fourth Slot</x:v>
      </x:c>
      <x:c r="B187" s="51" t="str">
        <x:v>Holy / Vital Component</x:v>
      </x:c>
      <x:c r="C187" s="51" t="str">
        <x:v>Rare</x:v>
      </x:c>
      <x:c r="D187" s="51" t="str">
        <x:v>Holy Component</x:v>
      </x:c>
      <x:c r="E187" s="51" t="n">
        <x:v>0</x:v>
      </x:c>
      <x:c r="F187" s="51" t="n">
        <x:v>0</x:v>
      </x:c>
      <x:c r="G187" s="51" t="n">
        <x:v>0</x:v>
      </x:c>
      <x:c r="H187" s="51" t="n">
        <x:v>0</x:v>
      </x:c>
      <x:c r="I187" s="51" t="n">
        <x:v>0</x:v>
      </x:c>
      <x:c r="J187" s="51" t="n">
        <x:v>0</x:v>
      </x:c>
      <x:c r="K187" s="51" t="n">
        <x:v>1</x:v>
      </x:c>
      <x:c r="L187" s="51" t="str"/>
      <x:c r="M187" s="51" t="str"/>
      <x:c r="N187" s="39" t="str">
        <x:v>A blessed white-gold component wrapped in clean cloth. It smells of spring water, candle wax, and temple herbs.</x:v>
      </x:c>
    </x:row>
    <x:row r="188">
      <x:c r="A188" s="38" t="str">
        <x:v>Fourth Slot</x:v>
      </x:c>
      <x:c r="B188" s="51" t="str">
        <x:v>Holy / Vital Component</x:v>
      </x:c>
      <x:c r="C188" s="51" t="str">
        <x:v>Very Rare</x:v>
      </x:c>
      <x:c r="D188" s="51" t="str">
        <x:v>Greater Holy Component</x:v>
      </x:c>
      <x:c r="E188" s="51" t="n">
        <x:v>0</x:v>
      </x:c>
      <x:c r="F188" s="51" t="n">
        <x:v>0</x:v>
      </x:c>
      <x:c r="G188" s="51" t="n">
        <x:v>0</x:v>
      </x:c>
      <x:c r="H188" s="51" t="n">
        <x:v>0</x:v>
      </x:c>
      <x:c r="I188" s="51" t="n">
        <x:v>0</x:v>
      </x:c>
      <x:c r="J188" s="51" t="n">
        <x:v>0</x:v>
      </x:c>
      <x:c r="K188" s="51" t="n">
        <x:v>2</x:v>
      </x:c>
      <x:c r="L188" s="51" t="str"/>
      <x:c r="M188" s="51" t="str"/>
      <x:c r="N188" s="39" t="str">
        <x:v>A luminous sacred component that warms the hand through the vial. It leaves a golden trail when stirred.</x:v>
      </x:c>
    </x:row>
    <x:row r="189">
      <x:c r="A189" s="38" t="str">
        <x:v>Fourth Slot</x:v>
      </x:c>
      <x:c r="B189" s="51" t="str">
        <x:v>Monster Parts</x:v>
      </x:c>
      <x:c r="C189" s="51" t="str">
        <x:v>Uncommon</x:v>
      </x:c>
      <x:c r="D189" s="51" t="str">
        <x:v>Acid Gland</x:v>
      </x:c>
      <x:c r="E189" s="51" t="n">
        <x:v>0</x:v>
      </x:c>
      <x:c r="F189" s="51" t="n">
        <x:v>25</x:v>
      </x:c>
      <x:c r="G189" s="51" t="n">
        <x:v>0</x:v>
      </x:c>
      <x:c r="H189" s="51" t="n">
        <x:v>0</x:v>
      </x:c>
      <x:c r="I189" s="51" t="n">
        <x:v>0</x:v>
      </x:c>
      <x:c r="J189" s="51" t="n">
        <x:v>0</x:v>
      </x:c>
      <x:c r="K189" s="51" t="n">
        <x:v>0</x:v>
      </x:c>
      <x:c r="L189" s="51" t="str"/>
      <x:c r="M189" s="51" t="str">
        <x:v>Acid</x:v>
      </x:c>
      <x:c r="N189" s="39" t="str">
        <x:v>A translucent yellow gland that beads sour vapor along its surface. It feels rubbery, smells of vinegar and wet stone, and lightly pits cheap metal.</x:v>
      </x:c>
    </x:row>
    <x:row r="190">
      <x:c r="A190" s="38" t="str">
        <x:v>Fourth Slot</x:v>
      </x:c>
      <x:c r="B190" s="51" t="str">
        <x:v>Monster Parts</x:v>
      </x:c>
      <x:c r="C190" s="51" t="str">
        <x:v>Uncommon</x:v>
      </x:c>
      <x:c r="D190" s="51" t="str">
        <x:v>Carrion Spore Sac</x:v>
      </x:c>
      <x:c r="E190" s="51" t="n">
        <x:v>0</x:v>
      </x:c>
      <x:c r="F190" s="51" t="n">
        <x:v>0</x:v>
      </x:c>
      <x:c r="G190" s="51" t="n">
        <x:v>0</x:v>
      </x:c>
      <x:c r="H190" s="51" t="n">
        <x:v>0</x:v>
      </x:c>
      <x:c r="I190" s="51" t="n">
        <x:v>0</x:v>
      </x:c>
      <x:c r="J190" s="51" t="n">
        <x:v>0</x:v>
      </x:c>
      <x:c r="K190" s="51" t="n">
        <x:v>0</x:v>
      </x:c>
      <x:c r="L190" s="51" t="str"/>
      <x:c r="M190" s="51" t="str">
        <x:v>Poison, Venom</x:v>
      </x:c>
      <x:c r="N190" s="39" t="str">
        <x:v>A soft olive sac filled with oily brown spores. It smells of spoiled fruit, wet feathers, and vinegar, and leaves the skin clammy through gloves.</x:v>
      </x:c>
    </x:row>
    <x:row r="191">
      <x:c r="A191" s="38" t="str">
        <x:v>Fourth Slot</x:v>
      </x:c>
      <x:c r="B191" s="51" t="str">
        <x:v>Monster Parts</x:v>
      </x:c>
      <x:c r="C191" s="51" t="str">
        <x:v>Uncommon</x:v>
      </x:c>
      <x:c r="D191" s="51" t="str">
        <x:v>Corrosive Motes</x:v>
      </x:c>
      <x:c r="E191" s="51" t="n">
        <x:v>0</x:v>
      </x:c>
      <x:c r="F191" s="51" t="n">
        <x:v>0</x:v>
      </x:c>
      <x:c r="G191" s="51" t="n">
        <x:v>25</x:v>
      </x:c>
      <x:c r="H191" s="51" t="n">
        <x:v>0</x:v>
      </x:c>
      <x:c r="I191" s="51" t="n">
        <x:v>0</x:v>
      </x:c>
      <x:c r="J191" s="51" t="n">
        <x:v>0</x:v>
      </x:c>
      <x:c r="K191" s="51" t="n">
        <x:v>0</x:v>
      </x:c>
      <x:c r="L191" s="51" t="str"/>
      <x:c r="M191" s="51" t="str">
        <x:v>Acid</x:v>
      </x:c>
      <x:c r="N191" s="39" t="str">
        <x:v>Green-gold motes drift in a sealed ampoule and cling to glass like pollen. They smell sharp, mineral, and faintly metallic.</x:v>
      </x:c>
    </x:row>
    <x:row r="192">
      <x:c r="A192" s="38" t="str">
        <x:v>Fourth Slot</x:v>
      </x:c>
      <x:c r="B192" s="51" t="str">
        <x:v>Monster Parts</x:v>
      </x:c>
      <x:c r="C192" s="51" t="str">
        <x:v>Uncommon</x:v>
      </x:c>
      <x:c r="D192" s="51" t="str">
        <x:v>Echo Gland</x:v>
      </x:c>
      <x:c r="E192" s="51" t="n">
        <x:v>0</x:v>
      </x:c>
      <x:c r="F192" s="51" t="n">
        <x:v>0</x:v>
      </x:c>
      <x:c r="G192" s="51" t="n">
        <x:v>25</x:v>
      </x:c>
      <x:c r="H192" s="51" t="n">
        <x:v>0</x:v>
      </x:c>
      <x:c r="I192" s="51" t="n">
        <x:v>0</x:v>
      </x:c>
      <x:c r="J192" s="51" t="n">
        <x:v>0</x:v>
      </x:c>
      <x:c r="K192" s="51" t="n">
        <x:v>0</x:v>
      </x:c>
      <x:c r="L192" s="51" t="str"/>
      <x:c r="M192" s="51" t="str">
        <x:v>Deafness, Sound</x:v>
      </x:c>
      <x:c r="N192" s="39" t="str">
        <x:v>A pale folded gland repeats muffled sounds several heartbeats late. It feels waxy and smells of salt, stone halls, and rain.</x:v>
      </x:c>
    </x:row>
    <x:row r="193">
      <x:c r="A193" s="38" t="str">
        <x:v>Fourth Slot</x:v>
      </x:c>
      <x:c r="B193" s="51" t="str">
        <x:v>Monster Parts</x:v>
      </x:c>
      <x:c r="C193" s="51" t="str">
        <x:v>Uncommon</x:v>
      </x:c>
      <x:c r="D193" s="51" t="str">
        <x:v>Ember Motes</x:v>
      </x:c>
      <x:c r="E193" s="51" t="n">
        <x:v>0</x:v>
      </x:c>
      <x:c r="F193" s="51" t="n">
        <x:v>25</x:v>
      </x:c>
      <x:c r="G193" s="51" t="n">
        <x:v>0</x:v>
      </x:c>
      <x:c r="H193" s="51" t="n">
        <x:v>0</x:v>
      </x:c>
      <x:c r="I193" s="51" t="n">
        <x:v>0</x:v>
      </x:c>
      <x:c r="J193" s="51" t="n">
        <x:v>0</x:v>
      </x:c>
      <x:c r="K193" s="51" t="n">
        <x:v>0</x:v>
      </x:c>
      <x:c r="L193" s="51" t="str"/>
      <x:c r="M193" s="51" t="str">
        <x:v>Fire</x:v>
      </x:c>
      <x:c r="N193" s="39" t="str">
        <x:v>Orange sparks drift inside a blackened vial without consuming the stopper. They smell of hot iron, cedar smoke, and pepper.</x:v>
      </x:c>
    </x:row>
    <x:row r="194">
      <x:c r="A194" s="38" t="str">
        <x:v>Fourth Slot</x:v>
      </x:c>
      <x:c r="B194" s="51" t="str">
        <x:v>Monster Parts</x:v>
      </x:c>
      <x:c r="C194" s="51" t="str">
        <x:v>Uncommon</x:v>
      </x:c>
      <x:c r="D194" s="51" t="str">
        <x:v>Eye-Dimming Motes</x:v>
      </x:c>
      <x:c r="E194" s="51" t="n">
        <x:v>0</x:v>
      </x:c>
      <x:c r="F194" s="51" t="n">
        <x:v>0</x:v>
      </x:c>
      <x:c r="G194" s="51" t="n">
        <x:v>25</x:v>
      </x:c>
      <x:c r="H194" s="51" t="n">
        <x:v>0</x:v>
      </x:c>
      <x:c r="I194" s="51" t="n">
        <x:v>0</x:v>
      </x:c>
      <x:c r="J194" s="51" t="n">
        <x:v>0</x:v>
      </x:c>
      <x:c r="K194" s="51" t="n">
        <x:v>0</x:v>
      </x:c>
      <x:c r="L194" s="51" t="str"/>
      <x:c r="M194" s="51" t="str">
        <x:v>Blindness, Sight</x:v>
      </x:c>
      <x:c r="N194" s="39" t="str">
        <x:v>Smoky motes gather around reflections and dull bright colors. They feel powder-dry and smell of charcoal, dust, and bitter herbs.</x:v>
      </x:c>
    </x:row>
    <x:row r="195">
      <x:c r="A195" s="38" t="str">
        <x:v>Fourth Slot</x:v>
      </x:c>
      <x:c r="B195" s="51" t="str">
        <x:v>Monster Parts</x:v>
      </x:c>
      <x:c r="C195" s="51" t="str">
        <x:v>Uncommon</x:v>
      </x:c>
      <x:c r="D195" s="51" t="str">
        <x:v>Eyeless Moth Dust</x:v>
      </x:c>
      <x:c r="E195" s="51" t="n">
        <x:v>0</x:v>
      </x:c>
      <x:c r="F195" s="51" t="n">
        <x:v>0</x:v>
      </x:c>
      <x:c r="G195" s="51" t="n">
        <x:v>0</x:v>
      </x:c>
      <x:c r="H195" s="51" t="n">
        <x:v>0</x:v>
      </x:c>
      <x:c r="I195" s="51" t="n">
        <x:v>0</x:v>
      </x:c>
      <x:c r="J195" s="51" t="n">
        <x:v>0</x:v>
      </x:c>
      <x:c r="K195" s="51" t="n">
        <x:v>0</x:v>
      </x:c>
      <x:c r="L195" s="51" t="str"/>
      <x:c r="M195" s="51" t="str">
        <x:v>Blindness, Sight</x:v>
      </x:c>
      <x:c r="N195" s="39" t="str">
        <x:v>A packet of pearl-gray dust brushed from the wings of eyeless cave moths. It feels like flour, smells of chalk and old wool, and makes bright light smear at the edge of vision.</x:v>
      </x:c>
    </x:row>
    <x:row r="196">
      <x:c r="A196" s="38" t="str">
        <x:v>Fourth Slot</x:v>
      </x:c>
      <x:c r="B196" s="51" t="str">
        <x:v>Monster Parts</x:v>
      </x:c>
      <x:c r="C196" s="51" t="str">
        <x:v>Uncommon</x:v>
      </x:c>
      <x:c r="D196" s="51" t="str">
        <x:v>Frost Motes</x:v>
      </x:c>
      <x:c r="E196" s="51" t="n">
        <x:v>0</x:v>
      </x:c>
      <x:c r="F196" s="51" t="n">
        <x:v>0</x:v>
      </x:c>
      <x:c r="G196" s="51" t="n">
        <x:v>25</x:v>
      </x:c>
      <x:c r="H196" s="51" t="n">
        <x:v>0</x:v>
      </x:c>
      <x:c r="I196" s="51" t="n">
        <x:v>0</x:v>
      </x:c>
      <x:c r="J196" s="51" t="n">
        <x:v>0</x:v>
      </x:c>
      <x:c r="K196" s="51" t="n">
        <x:v>0</x:v>
      </x:c>
      <x:c r="L196" s="51" t="str"/>
      <x:c r="M196" s="51" t="str">
        <x:v>Cold</x:v>
      </x:c>
      <x:c r="N196" s="39" t="str">
        <x:v>Pale blue motes tumble like snow in still air. They numb the fingertips through glass and smell of mint, iron, and winter wind.</x:v>
      </x:c>
    </x:row>
    <x:row r="197">
      <x:c r="A197" s="38" t="str">
        <x:v>Fourth Slot</x:v>
      </x:c>
      <x:c r="B197" s="51" t="str">
        <x:v>Monster Parts</x:v>
      </x:c>
      <x:c r="C197" s="51" t="str">
        <x:v>Uncommon</x:v>
      </x:c>
      <x:c r="D197" s="51" t="str">
        <x:v>Ice Gland</x:v>
      </x:c>
      <x:c r="E197" s="51" t="n">
        <x:v>0</x:v>
      </x:c>
      <x:c r="F197" s="51" t="n">
        <x:v>25</x:v>
      </x:c>
      <x:c r="G197" s="51" t="n">
        <x:v>0</x:v>
      </x:c>
      <x:c r="H197" s="51" t="n">
        <x:v>0</x:v>
      </x:c>
      <x:c r="I197" s="51" t="n">
        <x:v>0</x:v>
      </x:c>
      <x:c r="J197" s="51" t="n">
        <x:v>0</x:v>
      </x:c>
      <x:c r="K197" s="51" t="n">
        <x:v>0</x:v>
      </x:c>
      <x:c r="L197" s="51" t="str"/>
      <x:c r="M197" s="51" t="str">
        <x:v>Cold</x:v>
      </x:c>
      <x:c r="N197" s="39" t="str">
        <x:v>A pearl-blue gland with branching white veins. It is painfully cold, slick as river ice, and smells of clean snow.</x:v>
      </x:c>
    </x:row>
    <x:row r="198">
      <x:c r="A198" s="38" t="str">
        <x:v>Fourth Slot</x:v>
      </x:c>
      <x:c r="B198" s="51" t="str">
        <x:v>Monster Parts</x:v>
      </x:c>
      <x:c r="C198" s="51" t="str">
        <x:v>Uncommon</x:v>
      </x:c>
      <x:c r="D198" s="51" t="str">
        <x:v>Mind Motes</x:v>
      </x:c>
      <x:c r="E198" s="51" t="n">
        <x:v>0</x:v>
      </x:c>
      <x:c r="F198" s="51" t="n">
        <x:v>0</x:v>
      </x:c>
      <x:c r="G198" s="51" t="n">
        <x:v>25</x:v>
      </x:c>
      <x:c r="H198" s="51" t="n">
        <x:v>0</x:v>
      </x:c>
      <x:c r="I198" s="51" t="n">
        <x:v>0</x:v>
      </x:c>
      <x:c r="J198" s="51" t="n">
        <x:v>0</x:v>
      </x:c>
      <x:c r="K198" s="51" t="n">
        <x:v>0</x:v>
      </x:c>
      <x:c r="L198" s="51" t="str"/>
      <x:c r="M198" s="51" t="str">
        <x:v>Psychic, Mind, Confusion</x:v>
      </x:c>
      <x:c r="N198" s="39" t="str">
        <x:v>Faint violet motes arrange themselves into fleeting symbols. They taste metallic in the air and make nearby whispers seem closer.</x:v>
      </x:c>
    </x:row>
    <x:row r="199">
      <x:c r="A199" s="38" t="str">
        <x:v>Fourth Slot</x:v>
      </x:c>
      <x:c r="B199" s="51" t="str">
        <x:v>Monster Parts</x:v>
      </x:c>
      <x:c r="C199" s="51" t="str">
        <x:v>Uncommon</x:v>
      </x:c>
      <x:c r="D199" s="51" t="str">
        <x:v>Poison Gland</x:v>
      </x:c>
      <x:c r="E199" s="51" t="n">
        <x:v>0</x:v>
      </x:c>
      <x:c r="F199" s="51" t="n">
        <x:v>25</x:v>
      </x:c>
      <x:c r="G199" s="51" t="n">
        <x:v>0</x:v>
      </x:c>
      <x:c r="H199" s="51" t="n">
        <x:v>0</x:v>
      </x:c>
      <x:c r="I199" s="51" t="n">
        <x:v>0</x:v>
      </x:c>
      <x:c r="J199" s="51" t="n">
        <x:v>0</x:v>
      </x:c>
      <x:c r="K199" s="51" t="n">
        <x:v>0</x:v>
      </x:c>
      <x:c r="L199" s="51" t="str"/>
      <x:c r="M199" s="51" t="str">
        <x:v>Poison, Venom</x:v>
      </x:c>
      <x:c r="N199" s="39" t="str">
        <x:v>A green-black gland that sweats oily beads through its membrane. It smells sweet at first, then painfully bitter and metallic.</x:v>
      </x:c>
    </x:row>
    <x:row r="200">
      <x:c r="A200" s="38" t="str">
        <x:v>Fourth Slot</x:v>
      </x:c>
      <x:c r="B200" s="51" t="str">
        <x:v>Monster Parts</x:v>
      </x:c>
      <x:c r="C200" s="51" t="str">
        <x:v>Uncommon</x:v>
      </x:c>
      <x:c r="D200" s="51" t="str">
        <x:v>Resonant Motes</x:v>
      </x:c>
      <x:c r="E200" s="51" t="n">
        <x:v>0</x:v>
      </x:c>
      <x:c r="F200" s="51" t="n">
        <x:v>0</x:v>
      </x:c>
      <x:c r="G200" s="51" t="n">
        <x:v>0</x:v>
      </x:c>
      <x:c r="H200" s="51" t="n">
        <x:v>25</x:v>
      </x:c>
      <x:c r="I200" s="51" t="n">
        <x:v>0</x:v>
      </x:c>
      <x:c r="J200" s="51" t="n">
        <x:v>0</x:v>
      </x:c>
      <x:c r="K200" s="51" t="n">
        <x:v>0</x:v>
      </x:c>
      <x:c r="L200" s="51" t="str"/>
      <x:c r="M200" s="51" t="str">
        <x:v>Thunder, Sound, Deafness</x:v>
      </x:c>
      <x:c r="N200" s="39" t="str">
        <x:v>Silver motes ring softly against glass whenever someone speaks nearby. They smell of ozone and powdered crystal.</x:v>
      </x:c>
    </x:row>
    <x:row r="201">
      <x:c r="A201" s="38" t="str">
        <x:v>Fourth Slot</x:v>
      </x:c>
      <x:c r="B201" s="51" t="str">
        <x:v>Monster Parts</x:v>
      </x:c>
      <x:c r="C201" s="51" t="str">
        <x:v>Uncommon</x:v>
      </x:c>
      <x:c r="D201" s="51" t="str">
        <x:v>Storm Motes</x:v>
      </x:c>
      <x:c r="E201" s="51" t="n">
        <x:v>0</x:v>
      </x:c>
      <x:c r="F201" s="51" t="n">
        <x:v>0</x:v>
      </x:c>
      <x:c r="G201" s="51" t="n">
        <x:v>25</x:v>
      </x:c>
      <x:c r="H201" s="51" t="n">
        <x:v>0</x:v>
      </x:c>
      <x:c r="I201" s="51" t="n">
        <x:v>0</x:v>
      </x:c>
      <x:c r="J201" s="51" t="n">
        <x:v>0</x:v>
      </x:c>
      <x:c r="K201" s="51" t="n">
        <x:v>0</x:v>
      </x:c>
      <x:c r="L201" s="51" t="str"/>
      <x:c r="M201" s="51" t="str">
        <x:v>Lightning, Thunder</x:v>
      </x:c>
      <x:c r="N201" s="39" t="str">
        <x:v>Blue-white motes race around their vial in branching paths. They crackle softly and smell of wet stone and metal.</x:v>
      </x:c>
    </x:row>
    <x:row r="202">
      <x:c r="A202" s="38" t="str">
        <x:v>Fourth Slot</x:v>
      </x:c>
      <x:c r="B202" s="51" t="str">
        <x:v>Monster Parts</x:v>
      </x:c>
      <x:c r="C202" s="51" t="str">
        <x:v>Uncommon</x:v>
      </x:c>
      <x:c r="D202" s="51" t="str">
        <x:v>Toxic Motes</x:v>
      </x:c>
      <x:c r="E202" s="51" t="n">
        <x:v>0</x:v>
      </x:c>
      <x:c r="F202" s="51" t="n">
        <x:v>0</x:v>
      </x:c>
      <x:c r="G202" s="51" t="n">
        <x:v>25</x:v>
      </x:c>
      <x:c r="H202" s="51" t="n">
        <x:v>0</x:v>
      </x:c>
      <x:c r="I202" s="51" t="n">
        <x:v>0</x:v>
      </x:c>
      <x:c r="J202" s="51" t="n">
        <x:v>0</x:v>
      </x:c>
      <x:c r="K202" s="51" t="n">
        <x:v>0</x:v>
      </x:c>
      <x:c r="L202" s="51" t="str"/>
      <x:c r="M202" s="51" t="str">
        <x:v>Poison, Venom</x:v>
      </x:c>
      <x:c r="N202" s="39" t="str">
        <x:v>Yellow motes drift in a viscous suspension and sting the eyes when the vial is opened. They smell of crushed nettle and copper.</x:v>
      </x:c>
    </x:row>
    <x:row r="203">
      <x:c r="A203" s="38" t="str">
        <x:v>Fourth Slot</x:v>
      </x:c>
      <x:c r="B203" s="51" t="str">
        <x:v>Monster Parts</x:v>
      </x:c>
      <x:c r="C203" s="51" t="str">
        <x:v>Rare</x:v>
      </x:c>
      <x:c r="D203" s="51" t="str">
        <x:v>Aboleth Mucus</x:v>
      </x:c>
      <x:c r="E203" s="51" t="n">
        <x:v>0</x:v>
      </x:c>
      <x:c r="F203" s="51" t="n">
        <x:v>0</x:v>
      </x:c>
      <x:c r="G203" s="51" t="n">
        <x:v>0</x:v>
      </x:c>
      <x:c r="H203" s="51" t="n">
        <x:v>0</x:v>
      </x:c>
      <x:c r="I203" s="51" t="n">
        <x:v>0</x:v>
      </x:c>
      <x:c r="J203" s="51" t="n">
        <x:v>0</x:v>
      </x:c>
      <x:c r="K203" s="51" t="n">
        <x:v>0</x:v>
      </x:c>
      <x:c r="L203" s="51" t="str">
        <x:v>psychic</x:v>
      </x:c>
      <x:c r="M203" s="51" t="str">
        <x:v>Psychic, Confusion, Mind</x:v>
      </x:c>
      <x:c r="N203" s="39" t="str">
        <x:v>A slick blue-gray mucus that never fully mixes with water. It smells of deep brine, slime, and old psychic pressure.</x:v>
      </x:c>
    </x:row>
    <x:row r="204">
      <x:c r="A204" s="38" t="str">
        <x:v>Fourth Slot</x:v>
      </x:c>
      <x:c r="B204" s="51" t="str">
        <x:v>Monster Parts</x:v>
      </x:c>
      <x:c r="C204" s="51" t="str">
        <x:v>Rare</x:v>
      </x:c>
      <x:c r="D204" s="51" t="str">
        <x:v>Binding Essence</x:v>
      </x:c>
      <x:c r="E204" s="51" t="n">
        <x:v>0</x:v>
      </x:c>
      <x:c r="F204" s="51" t="n">
        <x:v>0</x:v>
      </x:c>
      <x:c r="G204" s="51" t="n">
        <x:v>50</x:v>
      </x:c>
      <x:c r="H204" s="51" t="n">
        <x:v>0</x:v>
      </x:c>
      <x:c r="I204" s="51" t="n">
        <x:v>0</x:v>
      </x:c>
      <x:c r="J204" s="51" t="n">
        <x:v>1</x:v>
      </x:c>
      <x:c r="K204" s="51" t="n">
        <x:v>0</x:v>
      </x:c>
      <x:c r="L204" s="51" t="str"/>
      <x:c r="M204" s="51" t="str">
        <x:v>Restraint, Binding</x:v>
      </x:c>
      <x:c r="N204" s="39" t="str">
        <x:v>Clear amber essence stretches into unbroken threads between containers. It smells of resin, wax, and clean rope fiber.</x:v>
      </x:c>
    </x:row>
    <x:row r="205">
      <x:c r="A205" s="38" t="str">
        <x:v>Fourth Slot</x:v>
      </x:c>
      <x:c r="B205" s="51" t="str">
        <x:v>Monster Parts</x:v>
      </x:c>
      <x:c r="C205" s="51" t="str">
        <x:v>Rare</x:v>
      </x:c>
      <x:c r="D205" s="51" t="str">
        <x:v>Charm Gland</x:v>
      </x:c>
      <x:c r="E205" s="51" t="n">
        <x:v>0</x:v>
      </x:c>
      <x:c r="F205" s="51" t="n">
        <x:v>0</x:v>
      </x:c>
      <x:c r="G205" s="51" t="n">
        <x:v>25</x:v>
      </x:c>
      <x:c r="H205" s="51" t="n">
        <x:v>0</x:v>
      </x:c>
      <x:c r="I205" s="51" t="n">
        <x:v>0</x:v>
      </x:c>
      <x:c r="J205" s="51" t="n">
        <x:v>1</x:v>
      </x:c>
      <x:c r="K205" s="51" t="n">
        <x:v>0</x:v>
      </x:c>
      <x:c r="L205" s="51" t="str"/>
      <x:c r="M205" s="51" t="str">
        <x:v>Charm, Mind, Fey</x:v>
      </x:c>
      <x:c r="N205" s="39" t="str">
        <x:v>A rose-colored gland pulses in time with nearby voices. It smells sweet, warm, and faintly floral, with an aftertaste of copper.</x:v>
      </x:c>
    </x:row>
    <x:row r="206">
      <x:c r="A206" s="38" t="str">
        <x:v>Fourth Slot</x:v>
      </x:c>
      <x:c r="B206" s="51" t="str">
        <x:v>Monster Parts</x:v>
      </x:c>
      <x:c r="C206" s="51" t="str">
        <x:v>Rare</x:v>
      </x:c>
      <x:c r="D206" s="51" t="str">
        <x:v>Confusion Motes</x:v>
      </x:c>
      <x:c r="E206" s="51" t="n">
        <x:v>0</x:v>
      </x:c>
      <x:c r="F206" s="51" t="n">
        <x:v>0</x:v>
      </x:c>
      <x:c r="G206" s="51" t="n">
        <x:v>25</x:v>
      </x:c>
      <x:c r="H206" s="51" t="n">
        <x:v>0</x:v>
      </x:c>
      <x:c r="I206" s="51" t="n">
        <x:v>0</x:v>
      </x:c>
      <x:c r="J206" s="51" t="n">
        <x:v>1</x:v>
      </x:c>
      <x:c r="K206" s="51" t="n">
        <x:v>0</x:v>
      </x:c>
      <x:c r="L206" s="51" t="str"/>
      <x:c r="M206" s="51" t="str">
        <x:v>Confusion, Mind, Psychic</x:v>
      </x:c>
      <x:c r="N206" s="39" t="str">
        <x:v>Pink-violet motes split into mismatched reflections. They smell of ink and flowers, and make simple patterns difficult to follow.</x:v>
      </x:c>
    </x:row>
    <x:row r="207">
      <x:c r="A207" s="38" t="str">
        <x:v>Fourth Slot</x:v>
      </x:c>
      <x:c r="B207" s="51" t="str">
        <x:v>Monster Parts</x:v>
      </x:c>
      <x:c r="C207" s="51" t="str">
        <x:v>Rare</x:v>
      </x:c>
      <x:c r="D207" s="51" t="str">
        <x:v>Dread Essence</x:v>
      </x:c>
      <x:c r="E207" s="51" t="n">
        <x:v>0</x:v>
      </x:c>
      <x:c r="F207" s="51" t="n">
        <x:v>0</x:v>
      </x:c>
      <x:c r="G207" s="51" t="n">
        <x:v>25</x:v>
      </x:c>
      <x:c r="H207" s="51" t="n">
        <x:v>0</x:v>
      </x:c>
      <x:c r="I207" s="51" t="n">
        <x:v>0</x:v>
      </x:c>
      <x:c r="J207" s="51" t="n">
        <x:v>1</x:v>
      </x:c>
      <x:c r="K207" s="51" t="n">
        <x:v>0</x:v>
      </x:c>
      <x:c r="L207" s="51" t="str"/>
      <x:c r="M207" s="51" t="str">
        <x:v>Fear, Mind</x:v>
      </x:c>
      <x:c r="N207" s="39" t="str">
        <x:v>A smoke-dark essence contracts when touched by warm light. It smells of cold sweat, extinguished candles, and damp earth.</x:v>
      </x:c>
    </x:row>
    <x:row r="208">
      <x:c r="A208" s="38" t="str">
        <x:v>Fourth Slot</x:v>
      </x:c>
      <x:c r="B208" s="51" t="str">
        <x:v>Monster Parts</x:v>
      </x:c>
      <x:c r="C208" s="51" t="str">
        <x:v>Rare</x:v>
      </x:c>
      <x:c r="D208" s="51" t="str">
        <x:v>Dreadcap Spore Cluster</x:v>
      </x:c>
      <x:c r="E208" s="51" t="n">
        <x:v>0</x:v>
      </x:c>
      <x:c r="F208" s="51" t="n">
        <x:v>0</x:v>
      </x:c>
      <x:c r="G208" s="51" t="n">
        <x:v>0</x:v>
      </x:c>
      <x:c r="H208" s="51" t="n">
        <x:v>0</x:v>
      </x:c>
      <x:c r="I208" s="51" t="n">
        <x:v>0</x:v>
      </x:c>
      <x:c r="J208" s="51" t="n">
        <x:v>1</x:v>
      </x:c>
      <x:c r="K208" s="51" t="n">
        <x:v>0</x:v>
      </x:c>
      <x:c r="L208" s="51" t="str"/>
      <x:c r="M208" s="51" t="str">
        <x:v>Fear, Mind</x:v>
      </x:c>
      <x:c r="N208" s="39" t="str">
        <x:v>A black-purple knot of spores that contracts when exposed to breath. It smells of cold sweat, grave soil, and extinguished candles, and whispers like distant footsteps.</x:v>
      </x:c>
    </x:row>
    <x:row r="209">
      <x:c r="A209" s="38" t="str">
        <x:v>Fourth Slot</x:v>
      </x:c>
      <x:c r="B209" s="51" t="str">
        <x:v>Monster Parts</x:v>
      </x:c>
      <x:c r="C209" s="51" t="str">
        <x:v>Rare</x:v>
      </x:c>
      <x:c r="D209" s="51" t="str">
        <x:v>Ettercap Resin Gland</x:v>
      </x:c>
      <x:c r="E209" s="51" t="n">
        <x:v>0</x:v>
      </x:c>
      <x:c r="F209" s="51" t="n">
        <x:v>0</x:v>
      </x:c>
      <x:c r="G209" s="51" t="n">
        <x:v>0</x:v>
      </x:c>
      <x:c r="H209" s="51" t="n">
        <x:v>0</x:v>
      </x:c>
      <x:c r="I209" s="51" t="n">
        <x:v>0</x:v>
      </x:c>
      <x:c r="J209" s="51" t="n">
        <x:v>1</x:v>
      </x:c>
      <x:c r="K209" s="51" t="n">
        <x:v>0</x:v>
      </x:c>
      <x:c r="L209" s="51" t="str"/>
      <x:c r="M209" s="51" t="str">
        <x:v>Restraint, Binding</x:v>
      </x:c>
      <x:c r="N209" s="39" t="str">
        <x:v>A thumb-sized gland packed with clear, ropey resin. It smells of wet silk and bitter pine, stretches several feet before snapping, and hardens instantly in dry air.</x:v>
      </x:c>
    </x:row>
    <x:row r="210">
      <x:c r="A210" s="38" t="str">
        <x:v>Fourth Slot</x:v>
      </x:c>
      <x:c r="B210" s="51" t="str">
        <x:v>Monster Parts</x:v>
      </x:c>
      <x:c r="C210" s="51" t="str">
        <x:v>Rare</x:v>
      </x:c>
      <x:c r="D210" s="51" t="str">
        <x:v>Fire Gland</x:v>
      </x:c>
      <x:c r="E210" s="51" t="n">
        <x:v>0</x:v>
      </x:c>
      <x:c r="F210" s="51" t="n">
        <x:v>50</x:v>
      </x:c>
      <x:c r="G210" s="51" t="n">
        <x:v>25</x:v>
      </x:c>
      <x:c r="H210" s="51" t="n">
        <x:v>0</x:v>
      </x:c>
      <x:c r="I210" s="51" t="n">
        <x:v>0</x:v>
      </x:c>
      <x:c r="J210" s="51" t="n">
        <x:v>0</x:v>
      </x:c>
      <x:c r="K210" s="51" t="n">
        <x:v>0</x:v>
      </x:c>
      <x:c r="L210" s="51" t="str"/>
      <x:c r="M210" s="51" t="str">
        <x:v>Fire</x:v>
      </x:c>
      <x:c r="N210" s="39" t="str">
        <x:v>A warm, pulsing gland with ember-red veins. It smells of scorched hide and mineral smoke.</x:v>
      </x:c>
    </x:row>
    <x:row r="211">
      <x:c r="A211" s="38" t="str">
        <x:v>Fourth Slot</x:v>
      </x:c>
      <x:c r="B211" s="51" t="str">
        <x:v>Monster Parts</x:v>
      </x:c>
      <x:c r="C211" s="51" t="str">
        <x:v>Rare</x:v>
      </x:c>
      <x:c r="D211" s="51" t="str">
        <x:v>Force Motes</x:v>
      </x:c>
      <x:c r="E211" s="51" t="n">
        <x:v>0</x:v>
      </x:c>
      <x:c r="F211" s="51" t="n">
        <x:v>50</x:v>
      </x:c>
      <x:c r="G211" s="51" t="n">
        <x:v>0</x:v>
      </x:c>
      <x:c r="H211" s="51" t="n">
        <x:v>0</x:v>
      </x:c>
      <x:c r="I211" s="51" t="n">
        <x:v>0</x:v>
      </x:c>
      <x:c r="J211" s="51" t="n">
        <x:v>0</x:v>
      </x:c>
      <x:c r="K211" s="51" t="n">
        <x:v>0</x:v>
      </x:c>
      <x:c r="L211" s="51" t="str"/>
      <x:c r="M211" s="51" t="str">
        <x:v>Force</x:v>
      </x:c>
      <x:c r="N211" s="39" t="str">
        <x:v>Clear motes knock against the vial without touching it. The container hums in the palm and smells faintly of ozone and clean glass.</x:v>
      </x:c>
    </x:row>
    <x:row r="212">
      <x:c r="A212" s="38" t="str">
        <x:v>Fourth Slot</x:v>
      </x:c>
      <x:c r="B212" s="51" t="str">
        <x:v>Monster Parts</x:v>
      </x:c>
      <x:c r="C212" s="51" t="str">
        <x:v>Rare</x:v>
      </x:c>
      <x:c r="D212" s="51" t="str">
        <x:v>Ghoul Ichor</x:v>
      </x:c>
      <x:c r="E212" s="51" t="n">
        <x:v>0</x:v>
      </x:c>
      <x:c r="F212" s="51" t="n">
        <x:v>0</x:v>
      </x:c>
      <x:c r="G212" s="51" t="n">
        <x:v>0</x:v>
      </x:c>
      <x:c r="H212" s="51" t="n">
        <x:v>0</x:v>
      </x:c>
      <x:c r="I212" s="51" t="n">
        <x:v>0</x:v>
      </x:c>
      <x:c r="J212" s="51" t="n">
        <x:v>1</x:v>
      </x:c>
      <x:c r="K212" s="51" t="n">
        <x:v>0</x:v>
      </x:c>
      <x:c r="L212" s="51" t="str"/>
      <x:c r="M212" s="51" t="str">
        <x:v>Paralysis, Nerve</x:v>
      </x:c>
      <x:c r="N212" s="39" t="str">
        <x:v>A gray-black ichor that clings in strings. It smells of grave soil, rot, and numbing cold.</x:v>
      </x:c>
    </x:row>
    <x:row r="213">
      <x:c r="A213" s="38" t="str">
        <x:v>Fourth Slot</x:v>
      </x:c>
      <x:c r="B213" s="51" t="str">
        <x:v>Monster Parts</x:v>
      </x:c>
      <x:c r="C213" s="51" t="str">
        <x:v>Rare</x:v>
      </x:c>
      <x:c r="D213" s="51" t="str">
        <x:v>Lightning Gland</x:v>
      </x:c>
      <x:c r="E213" s="51" t="n">
        <x:v>0</x:v>
      </x:c>
      <x:c r="F213" s="51" t="n">
        <x:v>50</x:v>
      </x:c>
      <x:c r="G213" s="51" t="n">
        <x:v>0</x:v>
      </x:c>
      <x:c r="H213" s="51" t="n">
        <x:v>25</x:v>
      </x:c>
      <x:c r="I213" s="51" t="n">
        <x:v>0</x:v>
      </x:c>
      <x:c r="J213" s="51" t="n">
        <x:v>0</x:v>
      </x:c>
      <x:c r="K213" s="51" t="n">
        <x:v>0</x:v>
      </x:c>
      <x:c r="L213" s="51" t="str"/>
      <x:c r="M213" s="51" t="str">
        <x:v>Lightning, Stunning</x:v>
      </x:c>
      <x:c r="N213" s="39" t="str">
        <x:v>A violet gland crossed by blue sparks. It twitches near metal, raises the hair on the wrist, and smells of rain on copper.</x:v>
      </x:c>
    </x:row>
    <x:row r="214">
      <x:c r="A214" s="38" t="str">
        <x:v>Fourth Slot</x:v>
      </x:c>
      <x:c r="B214" s="51" t="str">
        <x:v>Monster Parts</x:v>
      </x:c>
      <x:c r="C214" s="51" t="str">
        <x:v>Rare</x:v>
      </x:c>
      <x:c r="D214" s="51" t="str">
        <x:v>Necrotic Essence</x:v>
      </x:c>
      <x:c r="E214" s="51" t="n">
        <x:v>0</x:v>
      </x:c>
      <x:c r="F214" s="51" t="n">
        <x:v>50</x:v>
      </x:c>
      <x:c r="G214" s="51" t="n">
        <x:v>0</x:v>
      </x:c>
      <x:c r="H214" s="51" t="n">
        <x:v>0</x:v>
      </x:c>
      <x:c r="I214" s="51" t="n">
        <x:v>0</x:v>
      </x:c>
      <x:c r="J214" s="51" t="n">
        <x:v>1</x:v>
      </x:c>
      <x:c r="K214" s="51" t="n">
        <x:v>0</x:v>
      </x:c>
      <x:c r="L214" s="51" t="str"/>
      <x:c r="M214" s="51" t="str">
        <x:v>Necrotic, Death</x:v>
      </x:c>
      <x:c r="N214" s="39" t="str">
        <x:v>A gray-black essence that settles beneath every liquid. It chills nearby skin and smells of old incense, cold soil, and stone crypts.</x:v>
      </x:c>
    </x:row>
    <x:row r="215">
      <x:c r="A215" s="38" t="str">
        <x:v>Fourth Slot</x:v>
      </x:c>
      <x:c r="B215" s="51" t="str">
        <x:v>Monster Parts</x:v>
      </x:c>
      <x:c r="C215" s="51" t="str">
        <x:v>Rare</x:v>
      </x:c>
      <x:c r="D215" s="51" t="str">
        <x:v>Nerve Gland</x:v>
      </x:c>
      <x:c r="E215" s="51" t="n">
        <x:v>0</x:v>
      </x:c>
      <x:c r="F215" s="51" t="n">
        <x:v>25</x:v>
      </x:c>
      <x:c r="G215" s="51" t="n">
        <x:v>0</x:v>
      </x:c>
      <x:c r="H215" s="51" t="n">
        <x:v>0</x:v>
      </x:c>
      <x:c r="I215" s="51" t="n">
        <x:v>0</x:v>
      </x:c>
      <x:c r="J215" s="51" t="n">
        <x:v>1</x:v>
      </x:c>
      <x:c r="K215" s="51" t="n">
        <x:v>0</x:v>
      </x:c>
      <x:c r="L215" s="51" t="str"/>
      <x:c r="M215" s="51" t="str">
        <x:v>Paralysis, Nerve</x:v>
      </x:c>
      <x:c r="N215" s="39" t="str">
        <x:v>A pale branching gland twitches when exposed to air. It smells of salt, bitter roots, and a sharp electrical tang.</x:v>
      </x:c>
    </x:row>
    <x:row r="216">
      <x:c r="A216" s="38" t="str">
        <x:v>Fourth Slot</x:v>
      </x:c>
      <x:c r="B216" s="51" t="str">
        <x:v>Monster Parts</x:v>
      </x:c>
      <x:c r="C216" s="51" t="str">
        <x:v>Rare</x:v>
      </x:c>
      <x:c r="D216" s="51" t="str">
        <x:v>Psychic Gland</x:v>
      </x:c>
      <x:c r="E216" s="51" t="n">
        <x:v>0</x:v>
      </x:c>
      <x:c r="F216" s="51" t="n">
        <x:v>50</x:v>
      </x:c>
      <x:c r="G216" s="51" t="n">
        <x:v>0</x:v>
      </x:c>
      <x:c r="H216" s="51" t="n">
        <x:v>0</x:v>
      </x:c>
      <x:c r="I216" s="51" t="n">
        <x:v>0</x:v>
      </x:c>
      <x:c r="J216" s="51" t="n">
        <x:v>1</x:v>
      </x:c>
      <x:c r="K216" s="51" t="n">
        <x:v>0</x:v>
      </x:c>
      <x:c r="L216" s="51" t="str"/>
      <x:c r="M216" s="51" t="str">
        <x:v>Psychic, Mind, Confusion</x:v>
      </x:c>
      <x:c r="N216" s="39" t="str">
        <x:v>A violet gland patterned with silver folds that shift when watched. It pulses near thoughts and smells of ozone, ink, and lavender.</x:v>
      </x:c>
    </x:row>
    <x:row r="217">
      <x:c r="A217" s="38" t="str">
        <x:v>Fourth Slot</x:v>
      </x:c>
      <x:c r="B217" s="51" t="str">
        <x:v>Monster Parts</x:v>
      </x:c>
      <x:c r="C217" s="51" t="str">
        <x:v>Rare</x:v>
      </x:c>
      <x:c r="D217" s="51" t="str">
        <x:v>Radiant Motes</x:v>
      </x:c>
      <x:c r="E217" s="51" t="n">
        <x:v>0</x:v>
      </x:c>
      <x:c r="F217" s="51" t="n">
        <x:v>50</x:v>
      </x:c>
      <x:c r="G217" s="51" t="n">
        <x:v>0</x:v>
      </x:c>
      <x:c r="H217" s="51" t="n">
        <x:v>0</x:v>
      </x:c>
      <x:c r="I217" s="51" t="n">
        <x:v>0</x:v>
      </x:c>
      <x:c r="J217" s="51" t="n">
        <x:v>0</x:v>
      </x:c>
      <x:c r="K217" s="51" t="n">
        <x:v>0</x:v>
      </x:c>
      <x:c r="L217" s="51" t="str"/>
      <x:c r="M217" s="51" t="str">
        <x:v>Radiant, Holy</x:v>
      </x:c>
      <x:c r="N217" s="39" t="str">
        <x:v>Gold-white motes glow with steady warmth and leave no shadow. They smell of candle wax, clean linen, and sun-warmed stone.</x:v>
      </x:c>
    </x:row>
    <x:row r="218">
      <x:c r="A218" s="38" t="str">
        <x:v>Fourth Slot</x:v>
      </x:c>
      <x:c r="B218" s="51" t="str">
        <x:v>Monster Parts</x:v>
      </x:c>
      <x:c r="C218" s="51" t="str">
        <x:v>Rare</x:v>
      </x:c>
      <x:c r="D218" s="51" t="str">
        <x:v>Siren Gland Extract</x:v>
      </x:c>
      <x:c r="E218" s="51" t="n">
        <x:v>0</x:v>
      </x:c>
      <x:c r="F218" s="51" t="n">
        <x:v>0</x:v>
      </x:c>
      <x:c r="G218" s="51" t="n">
        <x:v>0</x:v>
      </x:c>
      <x:c r="H218" s="51" t="n">
        <x:v>0</x:v>
      </x:c>
      <x:c r="I218" s="51" t="n">
        <x:v>0</x:v>
      </x:c>
      <x:c r="J218" s="51" t="n">
        <x:v>1</x:v>
      </x:c>
      <x:c r="K218" s="51" t="n">
        <x:v>0</x:v>
      </x:c>
      <x:c r="L218" s="51" t="str"/>
      <x:c r="M218" s="51" t="str">
        <x:v>Charm, Mind</x:v>
      </x:c>
      <x:c r="N218" s="39" t="str">
        <x:v>A rose-gold extract that vibrates inside sealed glass. It smells of salt spray and sweet wine, and a faint melody can be heard when the vial is held to the ear.</x:v>
      </x:c>
    </x:row>
    <x:row r="219">
      <x:c r="A219" s="38" t="str">
        <x:v>Fourth Slot</x:v>
      </x:c>
      <x:c r="B219" s="51" t="str">
        <x:v>Monster Parts</x:v>
      </x:c>
      <x:c r="C219" s="51" t="str">
        <x:v>Rare</x:v>
      </x:c>
      <x:c r="D219" s="51" t="str">
        <x:v>Stunning Gland</x:v>
      </x:c>
      <x:c r="E219" s="51" t="n">
        <x:v>0</x:v>
      </x:c>
      <x:c r="F219" s="51" t="n">
        <x:v>0</x:v>
      </x:c>
      <x:c r="G219" s="51" t="n">
        <x:v>0</x:v>
      </x:c>
      <x:c r="H219" s="51" t="n">
        <x:v>25</x:v>
      </x:c>
      <x:c r="I219" s="51" t="n">
        <x:v>0</x:v>
      </x:c>
      <x:c r="J219" s="51" t="n">
        <x:v>1</x:v>
      </x:c>
      <x:c r="K219" s="51" t="n">
        <x:v>0</x:v>
      </x:c>
      <x:c r="L219" s="51" t="str"/>
      <x:c r="M219" s="51" t="str">
        <x:v>Stunning, Nerve, Lightning, Thunder</x:v>
      </x:c>
      <x:c r="N219" s="39" t="str">
        <x:v>A bright blue gland flashes in abrupt pulses. It makes the jaw ache when held and smells of ozone and cold metal.</x:v>
      </x:c>
    </x:row>
    <x:row r="220">
      <x:c r="A220" s="38" t="str">
        <x:v>Fourth Slot</x:v>
      </x:c>
      <x:c r="B220" s="51" t="str">
        <x:v>Monster Parts</x:v>
      </x:c>
      <x:c r="C220" s="51" t="str">
        <x:v>Rare</x:v>
      </x:c>
      <x:c r="D220" s="51" t="str">
        <x:v>Thunder Gland</x:v>
      </x:c>
      <x:c r="E220" s="51" t="n">
        <x:v>0</x:v>
      </x:c>
      <x:c r="F220" s="51" t="n">
        <x:v>50</x:v>
      </x:c>
      <x:c r="G220" s="51" t="n">
        <x:v>0</x:v>
      </x:c>
      <x:c r="H220" s="51" t="n">
        <x:v>25</x:v>
      </x:c>
      <x:c r="I220" s="51" t="n">
        <x:v>0</x:v>
      </x:c>
      <x:c r="J220" s="51" t="n">
        <x:v>0</x:v>
      </x:c>
      <x:c r="K220" s="51" t="n">
        <x:v>0</x:v>
      </x:c>
      <x:c r="L220" s="51" t="str"/>
      <x:c r="M220" s="51" t="str">
        <x:v>Thunder, Sound, Deafness</x:v>
      </x:c>
      <x:c r="N220" s="39" t="str">
        <x:v>A hollow blue gland vibrates with a tone felt more than heard. It smells of rain, slate, and split wood.</x:v>
      </x:c>
    </x:row>
    <x:row r="221">
      <x:c r="A221" s="38" t="str">
        <x:v>Fourth Slot</x:v>
      </x:c>
      <x:c r="B221" s="51" t="str">
        <x:v>Monster Parts</x:v>
      </x:c>
      <x:c r="C221" s="51" t="str">
        <x:v>Rare</x:v>
      </x:c>
      <x:c r="D221" s="51" t="str">
        <x:v>Troll Blood</x:v>
      </x:c>
      <x:c r="E221" s="51" t="n">
        <x:v>0</x:v>
      </x:c>
      <x:c r="F221" s="51" t="n">
        <x:v>25</x:v>
      </x:c>
      <x:c r="G221" s="51" t="n">
        <x:v>0</x:v>
      </x:c>
      <x:c r="H221" s="51" t="n">
        <x:v>0</x:v>
      </x:c>
      <x:c r="I221" s="51" t="n">
        <x:v>0</x:v>
      </x:c>
      <x:c r="J221" s="51" t="n">
        <x:v>0</x:v>
      </x:c>
      <x:c r="K221" s="51" t="n">
        <x:v>0</x:v>
      </x:c>
      <x:c r="L221" s="51" t="str"/>
      <x:c r="M221" s="51" t="str">
        <x:v>Regeneration, Vitality</x:v>
      </x:c>
      <x:c r="N221" s="39" t="str">
        <x:v>Thick green-black blood that knits back together after being stirred. It smells of wet hide, iron, and swamp rot.</x:v>
      </x:c>
    </x:row>
    <x:row r="222">
      <x:c r="A222" s="38" t="str">
        <x:v>Fourth Slot</x:v>
      </x:c>
      <x:c r="B222" s="51" t="str">
        <x:v>Monster Parts</x:v>
      </x:c>
      <x:c r="C222" s="51" t="str">
        <x:v>Rare</x:v>
      </x:c>
      <x:c r="D222" s="51" t="str">
        <x:v>Wyvern Venom</x:v>
      </x:c>
      <x:c r="E222" s="51" t="n">
        <x:v>0</x:v>
      </x:c>
      <x:c r="F222" s="51" t="n">
        <x:v>0</x:v>
      </x:c>
      <x:c r="G222" s="51" t="n">
        <x:v>0</x:v>
      </x:c>
      <x:c r="H222" s="51" t="n">
        <x:v>0</x:v>
      </x:c>
      <x:c r="I222" s="51" t="n">
        <x:v>0</x:v>
      </x:c>
      <x:c r="J222" s="51" t="n">
        <x:v>1</x:v>
      </x:c>
      <x:c r="K222" s="51" t="n">
        <x:v>1</x:v>
      </x:c>
      <x:c r="L222" s="51" t="str">
        <x:v>poison</x:v>
      </x:c>
      <x:c r="M222" s="51" t="str">
        <x:v>Poison, Venom</x:v>
      </x:c>
      <x:c r="N222" s="39" t="str">
        <x:v>A clear green venom that beads like oil. It smells of crushed nettles, copper, and sharp animal musk.</x:v>
      </x:c>
    </x:row>
    <x:row r="223">
      <x:c r="A223" s="38" t="str">
        <x:v>Fourth Slot</x:v>
      </x:c>
      <x:c r="B223" s="51" t="str">
        <x:v>Monster Parts</x:v>
      </x:c>
      <x:c r="C223" s="51" t="str">
        <x:v>Very Rare</x:v>
      </x:c>
      <x:c r="D223" s="51" t="str">
        <x:v>Basilisk Bile</x:v>
      </x:c>
      <x:c r="E223" s="51" t="n">
        <x:v>0</x:v>
      </x:c>
      <x:c r="F223" s="51" t="n">
        <x:v>0</x:v>
      </x:c>
      <x:c r="G223" s="51" t="n">
        <x:v>0</x:v>
      </x:c>
      <x:c r="H223" s="51" t="n">
        <x:v>0</x:v>
      </x:c>
      <x:c r="I223" s="51" t="n">
        <x:v>0</x:v>
      </x:c>
      <x:c r="J223" s="51" t="n">
        <x:v>2</x:v>
      </x:c>
      <x:c r="K223" s="51" t="n">
        <x:v>0</x:v>
      </x:c>
      <x:c r="L223" s="51" t="str"/>
      <x:c r="M223" s="51" t="str">
        <x:v>Petrification, Stone</x:v>
      </x:c>
      <x:c r="N223" s="39" t="str">
        <x:v>A gritty yellow bile that leaves stone-colored streaks in the vial. It smells chalky, sour, and reptilian.</x:v>
      </x:c>
    </x:row>
    <x:row r="224">
      <x:c r="A224" s="38" t="str">
        <x:v>Fourth Slot</x:v>
      </x:c>
      <x:c r="B224" s="51" t="str">
        <x:v>Monster Parts</x:v>
      </x:c>
      <x:c r="C224" s="51" t="str">
        <x:v>Very Rare</x:v>
      </x:c>
      <x:c r="D224" s="51" t="str">
        <x:v>Celestial Blood</x:v>
      </x:c>
      <x:c r="E224" s="51" t="n">
        <x:v>0</x:v>
      </x:c>
      <x:c r="F224" s="51" t="n">
        <x:v>25</x:v>
      </x:c>
      <x:c r="G224" s="51" t="n">
        <x:v>0</x:v>
      </x:c>
      <x:c r="H224" s="51" t="n">
        <x:v>0</x:v>
      </x:c>
      <x:c r="I224" s="51" t="n">
        <x:v>0</x:v>
      </x:c>
      <x:c r="J224" s="51" t="n">
        <x:v>0</x:v>
      </x:c>
      <x:c r="K224" s="51" t="n">
        <x:v>1</x:v>
      </x:c>
      <x:c r="L224" s="51" t="str"/>
      <x:c r="M224" s="51" t="str">
        <x:v>Radiant, Holy</x:v>
      </x:c>
      <x:c r="N224" s="39" t="str">
        <x:v>Luminous silver-gold blood moves like liquid light. It warms the hands and smells of spring rain, incense, and fresh air.</x:v>
      </x:c>
    </x:row>
    <x:row r="225">
      <x:c r="A225" s="38" t="str">
        <x:v>Fourth Slot</x:v>
      </x:c>
      <x:c r="B225" s="51" t="str">
        <x:v>Monster Parts</x:v>
      </x:c>
      <x:c r="C225" s="51" t="str">
        <x:v>Very Rare</x:v>
      </x:c>
      <x:c r="D225" s="51" t="str">
        <x:v>Demonic Blood</x:v>
      </x:c>
      <x:c r="E225" s="51" t="n">
        <x:v>0</x:v>
      </x:c>
      <x:c r="F225" s="51" t="n">
        <x:v>75</x:v>
      </x:c>
      <x:c r="G225" s="51" t="n">
        <x:v>0</x:v>
      </x:c>
      <x:c r="H225" s="51" t="n">
        <x:v>0</x:v>
      </x:c>
      <x:c r="I225" s="51" t="n">
        <x:v>0</x:v>
      </x:c>
      <x:c r="J225" s="51" t="n">
        <x:v>1</x:v>
      </x:c>
      <x:c r="K225" s="51" t="n">
        <x:v>0</x:v>
      </x:c>
      <x:c r="L225" s="51" t="str"/>
      <x:c r="M225" s="51" t="str">
        <x:v>Fire, Necrotic, Fear, Infernal</x:v>
      </x:c>
      <x:c r="N225" s="39" t="str">
        <x:v>Thick black-red blood rolls against gravity and steams in cool air. It smells of sulfur, iron, and burned leather.</x:v>
      </x:c>
    </x:row>
    <x:row r="226">
      <x:c r="A226" s="38" t="str">
        <x:v>Fourth Slot</x:v>
      </x:c>
      <x:c r="B226" s="51" t="str">
        <x:v>Monster Parts</x:v>
      </x:c>
      <x:c r="C226" s="51" t="str">
        <x:v>Very Rare</x:v>
      </x:c>
      <x:c r="D226" s="51" t="str">
        <x:v>Dragon Gland</x:v>
      </x:c>
      <x:c r="E226" s="51" t="n">
        <x:v>0</x:v>
      </x:c>
      <x:c r="F226" s="51" t="n">
        <x:v>50</x:v>
      </x:c>
      <x:c r="G226" s="51" t="n">
        <x:v>0</x:v>
      </x:c>
      <x:c r="H226" s="51" t="n">
        <x:v>0</x:v>
      </x:c>
      <x:c r="I226" s="51" t="n">
        <x:v>0</x:v>
      </x:c>
      <x:c r="J226" s="51" t="n">
        <x:v>0</x:v>
      </x:c>
      <x:c r="K226" s="51" t="n">
        <x:v>1</x:v>
      </x:c>
      <x:c r="L226" s="51" t="str">
        <x:v>fire</x:v>
      </x:c>
      <x:c r="M226" s="51" t="str">
        <x:v>Fire, Dragon</x:v>
      </x:c>
      <x:c r="N226" s="39" t="str">
        <x:v>A preserved gland that pulses with elemental heat. It smells of scales, smoke, and old treasure chambers.</x:v>
      </x:c>
    </x:row>
    <x:row r="227">
      <x:c r="A227" s="38" t="str">
        <x:v>Fourth Slot</x:v>
      </x:c>
      <x:c r="B227" s="51" t="str">
        <x:v>Monster Parts</x:v>
      </x:c>
      <x:c r="C227" s="51" t="str">
        <x:v>Very Rare</x:v>
      </x:c>
      <x:c r="D227" s="51" t="str">
        <x:v>Force Gland</x:v>
      </x:c>
      <x:c r="E227" s="51" t="n">
        <x:v>0</x:v>
      </x:c>
      <x:c r="F227" s="51" t="n">
        <x:v>25</x:v>
      </x:c>
      <x:c r="G227" s="51" t="n">
        <x:v>0</x:v>
      </x:c>
      <x:c r="H227" s="51" t="n">
        <x:v>0</x:v>
      </x:c>
      <x:c r="I227" s="51" t="n">
        <x:v>0</x:v>
      </x:c>
      <x:c r="J227" s="51" t="n">
        <x:v>0</x:v>
      </x:c>
      <x:c r="K227" s="51" t="n">
        <x:v>1</x:v>
      </x:c>
      <x:c r="L227" s="51" t="str"/>
      <x:c r="M227" s="51" t="str">
        <x:v>Force</x:v>
      </x:c>
      <x:c r="N227" s="39" t="str">
        <x:v>A colorless knot of dense tissue that makes nearby dust orbit it. It feels heavy, vibrates under pressure, and carries no natural scent.</x:v>
      </x:c>
    </x:row>
    <x:row r="228">
      <x:c r="A228" s="38" t="str">
        <x:v>Fourth Slot</x:v>
      </x:c>
      <x:c r="B228" s="51" t="str">
        <x:v>Monster Parts</x:v>
      </x:c>
      <x:c r="C228" s="51" t="str">
        <x:v>Very Rare</x:v>
      </x:c>
      <x:c r="D228" s="51" t="str">
        <x:v>Kaorti Ichor</x:v>
      </x:c>
      <x:c r="E228" s="51" t="n">
        <x:v>0</x:v>
      </x:c>
      <x:c r="F228" s="51" t="n">
        <x:v>50</x:v>
      </x:c>
      <x:c r="G228" s="51" t="n">
        <x:v>0</x:v>
      </x:c>
      <x:c r="H228" s="51" t="n">
        <x:v>0</x:v>
      </x:c>
      <x:c r="I228" s="51" t="n">
        <x:v>0</x:v>
      </x:c>
      <x:c r="J228" s="51" t="n">
        <x:v>2</x:v>
      </x:c>
      <x:c r="K228" s="51" t="n">
        <x:v>0</x:v>
      </x:c>
      <x:c r="L228" s="51" t="str"/>
      <x:c r="M228" s="51" t="str">
        <x:v>Confusion, Psychic</x:v>
      </x:c>
      <x:c r="N228" s="39" t="str">
        <x:v>A black-violet ichor that ripples in impossible patterns. It smells alien, sweet, and nauseatingly clean.</x:v>
      </x:c>
    </x:row>
    <x:row r="229">
      <x:c r="A229" s="38" t="str">
        <x:v>Fourth Slot</x:v>
      </x:c>
      <x:c r="B229" s="51" t="str">
        <x:v>Monster Parts</x:v>
      </x:c>
      <x:c r="C229" s="51" t="str">
        <x:v>Very Rare</x:v>
      </x:c>
      <x:c r="D229" s="51" t="str">
        <x:v>Petrifying Blood</x:v>
      </x:c>
      <x:c r="E229" s="51" t="n">
        <x:v>0</x:v>
      </x:c>
      <x:c r="F229" s="51" t="n">
        <x:v>0</x:v>
      </x:c>
      <x:c r="G229" s="51" t="n">
        <x:v>25</x:v>
      </x:c>
      <x:c r="H229" s="51" t="n">
        <x:v>0</x:v>
      </x:c>
      <x:c r="I229" s="51" t="n">
        <x:v>0</x:v>
      </x:c>
      <x:c r="J229" s="51" t="n">
        <x:v>2</x:v>
      </x:c>
      <x:c r="K229" s="51" t="n">
        <x:v>0</x:v>
      </x:c>
      <x:c r="L229" s="51" t="str"/>
      <x:c r="M229" s="51" t="str">
        <x:v>Petrification, Stone</x:v>
      </x:c>
      <x:c r="N229" s="39" t="str">
        <x:v>Gray-gold blood thickens into stone-like flakes along the vial. It smells of limestone, iron, and rain on statues.</x:v>
      </x:c>
    </x:row>
    <x:row r="230">
      <x:c r="A230" s="38" t="str">
        <x:v>Fourth Slot</x:v>
      </x:c>
      <x:c r="B230" s="51" t="str">
        <x:v>Monster Parts</x:v>
      </x:c>
      <x:c r="C230" s="51" t="str">
        <x:v>Very Rare</x:v>
      </x:c>
      <x:c r="D230" s="51" t="str">
        <x:v>Phase Residue</x:v>
      </x:c>
      <x:c r="E230" s="51" t="n">
        <x:v>0</x:v>
      </x:c>
      <x:c r="F230" s="51" t="n">
        <x:v>0</x:v>
      </x:c>
      <x:c r="G230" s="51" t="n">
        <x:v>50</x:v>
      </x:c>
      <x:c r="H230" s="51" t="n">
        <x:v>0</x:v>
      </x:c>
      <x:c r="I230" s="51" t="n">
        <x:v>0</x:v>
      </x:c>
      <x:c r="J230" s="51" t="n">
        <x:v>0</x:v>
      </x:c>
      <x:c r="K230" s="51" t="n">
        <x:v>0</x:v>
      </x:c>
      <x:c r="L230" s="51" t="str"/>
      <x:c r="M230" s="51" t="str">
        <x:v>Phase Displacement, Phase, Force</x:v>
      </x:c>
      <x:c r="N230" s="39" t="str">
        <x:v>A pearly residue that blurs at the edge of sight. It smells like ozone, fog, and empty rooms.</x:v>
      </x:c>
    </x:row>
    <x:row r="231">
      <x:c r="A231" s="40" t="str">
        <x:v>Fourth Slot</x:v>
      </x:c>
      <x:c r="B231" s="52" t="str">
        <x:v>Monster Parts</x:v>
      </x:c>
      <x:c r="C231" s="52" t="str">
        <x:v>Very Rare</x:v>
      </x:c>
      <x:c r="D231" s="52" t="str">
        <x:v>Shock Eel Cerebrum</x:v>
      </x:c>
      <x:c r="E231" s="52" t="n">
        <x:v>0</x:v>
      </x:c>
      <x:c r="F231" s="52" t="n">
        <x:v>0</x:v>
      </x:c>
      <x:c r="G231" s="52" t="n">
        <x:v>0</x:v>
      </x:c>
      <x:c r="H231" s="52" t="n">
        <x:v>0</x:v>
      </x:c>
      <x:c r="I231" s="52" t="n">
        <x:v>0</x:v>
      </x:c>
      <x:c r="J231" s="52" t="n">
        <x:v>0</x:v>
      </x:c>
      <x:c r="K231" s="52" t="n">
        <x:v>1</x:v>
      </x:c>
      <x:c r="L231" s="52" t="str"/>
      <x:c r="M231" s="52" t="str">
        <x:v>Stunning, Lightning, Nerve</x:v>
      </x:c>
      <x:c r="N231" s="41" t="str">
        <x:v>A translucent blue organ suspended in conductive brine. It crackles against metal, smells sharply of ozone and seawater, and causes the fingers to twitch nearby.</x:v>
      </x:c>
    </x:row>
  </x:sheetData>
  <x:conditionalFormatting sqref="C2:C231">
    <x:cfRule type="expression" dxfId="0" priority="1">
      <x:formula>C2="Common"</x:formula>
    </x:cfRule>
    <x:cfRule type="expression" dxfId="1" priority="2">
      <x:formula>C2="Uncommon"</x:formula>
    </x:cfRule>
    <x:cfRule type="expression" dxfId="2" priority="3">
      <x:formula>C2="Rare"</x:formula>
    </x:cfRule>
    <x:cfRule type="expression" dxfId="3" priority="4">
      <x:formula>C2="Very Rare"</x:formula>
    </x:cfRule>
    <x:cfRule type="expression" dxfId="4" priority="5">
      <x:formula>C2="Legendary"</x:formula>
    </x:cfRule>
  </x:conditionalFormatting>
  <x:pageMargins left="0.7" right="0.7" top="0.75" bottom="0.75" header="0.3" footer="0.3"/>
  <x:tableParts count="1">
    <x:tablePart xmlns:r="http://schemas.openxmlformats.org/officeDocument/2006/relationships" r:id="R2c7aa837b4bc4451"/>
  </x:tableParts>
</x:worksheet>
</file>

<file path=xl/worksheets/sheet3.xml><?xml version="1.0" encoding="utf-8"?>
<x:worksheet xmlns:x="http://schemas.openxmlformats.org/spreadsheetml/2006/main">
  <x:sheetFormatPr defaultRowHeight="15"/>
  <x:cols>
    <x:col min="1" max="1" width="12" hidden="0" customWidth="1"/>
    <x:col min="2" max="2" width="22" hidden="0" customWidth="1"/>
    <x:col min="3" max="3" width="32" hidden="0" customWidth="1"/>
    <x:col min="4" max="4" width="13" hidden="0" customWidth="1"/>
    <x:col min="5" max="5" width="14" hidden="0" customWidth="1"/>
    <x:col min="6" max="6" width="21" hidden="0" customWidth="1"/>
    <x:col min="7" max="7" width="21" hidden="0" customWidth="1"/>
    <x:col min="8" max="8" width="21" hidden="0" customWidth="1"/>
    <x:col min="9" max="9" width="50" hidden="0" customWidth="1"/>
    <x:col min="10" max="10" width="38" hidden="0" customWidth="1"/>
    <x:col min="11" max="11" width="18" hidden="0" customWidth="1"/>
    <x:col min="12" max="12" width="17" hidden="0" customWidth="1"/>
    <x:col min="13" max="13" width="18" hidden="0" customWidth="1"/>
    <x:col min="14" max="14" width="68" hidden="0" customWidth="1"/>
    <x:col min="15" max="15" width="25" hidden="0" customWidth="1"/>
    <x:col min="16" max="16" width="28" hidden="0" customWidth="1"/>
  </x:cols>
  <x:sheetData>
    <x:row r="1">
      <x:c r="A1" s="26" t="str">
        <x:v>Type</x:v>
      </x:c>
      <x:c r="B1" s="46" t="str">
        <x:v>Recipe Group</x:v>
      </x:c>
      <x:c r="C1" s="46" t="str">
        <x:v>Recipe</x:v>
      </x:c>
      <x:c r="D1" s="46" t="str">
        <x:v>Rarity</x:v>
      </x:c>
      <x:c r="E1" s="46" t="str">
        <x:v>Base Craft DC</x:v>
      </x:c>
      <x:c r="F1" s="46" t="str">
        <x:v>Core Ingredient 1</x:v>
      </x:c>
      <x:c r="G1" s="46" t="str">
        <x:v>Core Ingredient 2</x:v>
      </x:c>
      <x:c r="H1" s="46" t="str">
        <x:v>Core Ingredient 3</x:v>
      </x:c>
      <x:c r="I1" s="46" t="str">
        <x:v>Three-Ingredient Formula</x:v>
      </x:c>
      <x:c r="J1" s="46" t="str">
        <x:v>Required Fourth-Slot Tags</x:v>
      </x:c>
      <x:c r="K1" s="46" t="str">
        <x:v>Picker Label</x:v>
      </x:c>
      <x:c r="L1" s="46" t="str">
        <x:v>Fourth Slot Required?</x:v>
      </x:c>
      <x:c r="M1" s="46" t="str">
        <x:v>Duration</x:v>
      </x:c>
      <x:c r="N1" s="46" t="str">
        <x:v>Effect</x:v>
      </x:c>
      <x:c r="O1" s="46" t="str">
        <x:v>Use</x:v>
      </x:c>
      <x:c r="P1" s="27" t="str">
        <x:v>Shared Template</x:v>
      </x:c>
    </x:row>
    <x:row r="2">
      <x:c r="A2" s="38" t="str">
        <x:v>Potions</x:v>
      </x:c>
      <x:c r="B2" s="51" t="str">
        <x:v>General Potions</x:v>
      </x:c>
      <x:c r="C2" s="51" t="str">
        <x:v>Antitoxin</x:v>
      </x:c>
      <x:c r="D2" s="51" t="str">
        <x:v>Common</x:v>
      </x:c>
      <x:c r="E2" s="51" t="n">
        <x:v>16</x:v>
      </x:c>
      <x:c r="F2" s="51" t="str">
        <x:v>Root</x:v>
      </x:c>
      <x:c r="G2" s="51" t="str">
        <x:v>Mineral / Salt / Ash</x:v>
      </x:c>
      <x:c r="H2" s="51" t="str">
        <x:v>Flower</x:v>
      </x:c>
      <x:c r="I2" s="51" t="str">
        <x:v>Root + Mineral / Salt / Ash + Flower</x:v>
      </x:c>
      <x:c r="J2" s="51" t="str"/>
      <x:c r="K2" s="51" t="str"/>
      <x:c r="L2" s="51" t="str">
        <x:v>Optional</x:v>
      </x:c>
      <x:c r="M2" s="51" t="str">
        <x:v>1 hour</x:v>
      </x:c>
      <x:c r="N2" s="51" t="str">
        <x:v>The drinker has Advantage on saving throws against poison.</x:v>
      </x:c>
      <x:c r="O2" s="51" t="str">
        <x:v>Bonus Action to use or apply</x:v>
      </x:c>
      <x:c r="P2" s="39" t="str">
        <x:v>antitoxin</x:v>
      </x:c>
    </x:row>
    <x:row r="3">
      <x:c r="A3" s="38" t="str">
        <x:v>Potions</x:v>
      </x:c>
      <x:c r="B3" s="51" t="str">
        <x:v>General Potions</x:v>
      </x:c>
      <x:c r="C3" s="51" t="str">
        <x:v>Ironroot Salve</x:v>
      </x:c>
      <x:c r="D3" s="51" t="str">
        <x:v>Uncommon</x:v>
      </x:c>
      <x:c r="E3" s="51" t="n">
        <x:v>22</x:v>
      </x:c>
      <x:c r="F3" s="51" t="str">
        <x:v>Thorn / Bark / Wood</x:v>
      </x:c>
      <x:c r="G3" s="51" t="str">
        <x:v>Root</x:v>
      </x:c>
      <x:c r="H3" s="51" t="str">
        <x:v>Sap / Resin</x:v>
      </x:c>
      <x:c r="I3" s="51" t="str">
        <x:v>Thorn / Bark / Wood + Root + Sap / Resin</x:v>
      </x:c>
      <x:c r="J3" s="51" t="str"/>
      <x:c r="K3" s="51" t="str"/>
      <x:c r="L3" s="51" t="str">
        <x:v>Optional</x:v>
      </x:c>
      <x:c r="M3" s="51" t="str">
        <x:v>1 hour</x:v>
      </x:c>
      <x:c r="N3" s="51" t="str">
        <x:v>The target gains a defensive buffer or improved resistance to forced movement by DM ruling.</x:v>
      </x:c>
      <x:c r="O3" s="51" t="str">
        <x:v>Bonus Action to use or apply</x:v>
      </x:c>
      <x:c r="P3" s="39" t="str">
        <x:v>ironroot-salve</x:v>
      </x:c>
    </x:row>
    <x:row r="4">
      <x:c r="A4" s="38" t="str">
        <x:v>Potions</x:v>
      </x:c>
      <x:c r="B4" s="51" t="str">
        <x:v>General Potions</x:v>
      </x:c>
      <x:c r="C4" s="51" t="str">
        <x:v>Night-Eye Drops</x:v>
      </x:c>
      <x:c r="D4" s="51" t="str">
        <x:v>Uncommon</x:v>
      </x:c>
      <x:c r="E4" s="51" t="n">
        <x:v>22</x:v>
      </x:c>
      <x:c r="F4" s="51" t="str">
        <x:v>Flower</x:v>
      </x:c>
      <x:c r="G4" s="51" t="str">
        <x:v>Moss / Lichen</x:v>
      </x:c>
      <x:c r="H4" s="51" t="str">
        <x:v>Mineral / Salt / Ash</x:v>
      </x:c>
      <x:c r="I4" s="51" t="str">
        <x:v>Flower + Moss / Lichen + Mineral / Salt / Ash</x:v>
      </x:c>
      <x:c r="J4" s="51" t="str"/>
      <x:c r="K4" s="51" t="str"/>
      <x:c r="L4" s="51" t="str">
        <x:v>Optional</x:v>
      </x:c>
      <x:c r="M4" s="51" t="str">
        <x:v>1 hour</x:v>
      </x:c>
      <x:c r="N4" s="51" t="str">
        <x:v>The user gains darkvision or improved low-light perception by DM ruling.</x:v>
      </x:c>
      <x:c r="O4" s="51" t="str">
        <x:v>Bonus Action to use or apply</x:v>
      </x:c>
      <x:c r="P4" s="39" t="str">
        <x:v>night-eye-drops</x:v>
      </x:c>
    </x:row>
    <x:row r="5">
      <x:c r="A5" s="38" t="str">
        <x:v>Potions</x:v>
      </x:c>
      <x:c r="B5" s="51" t="str">
        <x:v>General Potions</x:v>
      </x:c>
      <x:c r="C5" s="51" t="str">
        <x:v>Philter of Love</x:v>
      </x:c>
      <x:c r="D5" s="51" t="str">
        <x:v>Uncommon</x:v>
      </x:c>
      <x:c r="E5" s="51" t="n">
        <x:v>22</x:v>
      </x:c>
      <x:c r="F5" s="51" t="str">
        <x:v>Flower</x:v>
      </x:c>
      <x:c r="G5" s="51" t="str">
        <x:v>Flower</x:v>
      </x:c>
      <x:c r="H5" s="51" t="str">
        <x:v>Sap / Resin</x:v>
      </x:c>
      <x:c r="I5" s="51" t="str">
        <x:v>Flower + Flower + Sap / Resin</x:v>
      </x:c>
      <x:c r="J5" s="51" t="str"/>
      <x:c r="K5" s="51" t="str"/>
      <x:c r="L5" s="51" t="str">
        <x:v>Optional</x:v>
      </x:c>
      <x:c r="M5" s="51" t="str">
        <x:v>1 hour</x:v>
      </x:c>
      <x:c r="N5" s="51" t="str">
        <x:v>The drinker is charmed by the first creature they see shortly after drinking, by DM ruling.</x:v>
      </x:c>
      <x:c r="O5" s="51" t="str">
        <x:v>Bonus Action to use or apply</x:v>
      </x:c>
      <x:c r="P5" s="39" t="str">
        <x:v>philter-of-love</x:v>
      </x:c>
    </x:row>
    <x:row r="6">
      <x:c r="A6" s="38" t="str">
        <x:v>Potions</x:v>
      </x:c>
      <x:c r="B6" s="51" t="str">
        <x:v>General Potions</x:v>
      </x:c>
      <x:c r="C6" s="51" t="str">
        <x:v>Potion of Animal Friendship</x:v>
      </x:c>
      <x:c r="D6" s="51" t="str">
        <x:v>Uncommon</x:v>
      </x:c>
      <x:c r="E6" s="51" t="n">
        <x:v>22</x:v>
      </x:c>
      <x:c r="F6" s="51" t="str">
        <x:v>Flower</x:v>
      </x:c>
      <x:c r="G6" s="51" t="str">
        <x:v>Leaf / Vine</x:v>
      </x:c>
      <x:c r="H6" s="51" t="str">
        <x:v>Root</x:v>
      </x:c>
      <x:c r="I6" s="51" t="str">
        <x:v>Flower + Leaf / Vine + Root</x:v>
      </x:c>
      <x:c r="J6" s="51" t="str"/>
      <x:c r="K6" s="51" t="str"/>
      <x:c r="L6" s="51" t="str">
        <x:v>Optional</x:v>
      </x:c>
      <x:c r="M6" s="51" t="str">
        <x:v>1 hour</x:v>
      </x:c>
      <x:c r="N6" s="51" t="str">
        <x:v>The drinker can cast Animal Friendship, with the save DC set by the potion or DM.</x:v>
      </x:c>
      <x:c r="O6" s="51" t="str">
        <x:v>Bonus Action to use or apply</x:v>
      </x:c>
      <x:c r="P6" s="39" t="str">
        <x:v>potion-of-animal-friendship</x:v>
      </x:c>
    </x:row>
    <x:row r="7">
      <x:c r="A7" s="38" t="str">
        <x:v>Potions</x:v>
      </x:c>
      <x:c r="B7" s="51" t="str">
        <x:v>General Potions</x:v>
      </x:c>
      <x:c r="C7" s="51" t="str">
        <x:v>Potion of Clairvoyance</x:v>
      </x:c>
      <x:c r="D7" s="51" t="str">
        <x:v>Rare</x:v>
      </x:c>
      <x:c r="E7" s="51" t="n">
        <x:v>28</x:v>
      </x:c>
      <x:c r="F7" s="51" t="str">
        <x:v>Flower</x:v>
      </x:c>
      <x:c r="G7" s="51" t="str">
        <x:v>Mineral / Salt / Ash</x:v>
      </x:c>
      <x:c r="H7" s="51" t="str">
        <x:v>Moss / Lichen</x:v>
      </x:c>
      <x:c r="I7" s="51" t="str">
        <x:v>Flower + Mineral / Salt / Ash + Moss / Lichen</x:v>
      </x:c>
      <x:c r="J7" s="51" t="str"/>
      <x:c r="K7" s="51" t="str"/>
      <x:c r="L7" s="51" t="str">
        <x:v>Optional</x:v>
      </x:c>
      <x:c r="M7" s="51" t="str">
        <x:v>10 minutes</x:v>
      </x:c>
      <x:c r="N7" s="51" t="str">
        <x:v>The drinker gains the effect of Clairvoyance.</x:v>
      </x:c>
      <x:c r="O7" s="51" t="str">
        <x:v>Bonus Action to use or apply</x:v>
      </x:c>
      <x:c r="P7" s="39" t="str">
        <x:v>potion-of-clairvoyance</x:v>
      </x:c>
    </x:row>
    <x:row r="8">
      <x:c r="A8" s="38" t="str">
        <x:v>Potions</x:v>
      </x:c>
      <x:c r="B8" s="51" t="str">
        <x:v>General Potions</x:v>
      </x:c>
      <x:c r="C8" s="51" t="str">
        <x:v>Potion of Climbing</x:v>
      </x:c>
      <x:c r="D8" s="51" t="str">
        <x:v>Common</x:v>
      </x:c>
      <x:c r="E8" s="51" t="n">
        <x:v>16</x:v>
      </x:c>
      <x:c r="F8" s="51" t="str">
        <x:v>Leaf / Vine</x:v>
      </x:c>
      <x:c r="G8" s="51" t="str">
        <x:v>Moss / Lichen</x:v>
      </x:c>
      <x:c r="H8" s="51" t="str">
        <x:v>Root</x:v>
      </x:c>
      <x:c r="I8" s="51" t="str">
        <x:v>Leaf / Vine + Moss / Lichen + Root</x:v>
      </x:c>
      <x:c r="J8" s="51" t="str"/>
      <x:c r="K8" s="51" t="str"/>
      <x:c r="L8" s="51" t="str">
        <x:v>Optional</x:v>
      </x:c>
      <x:c r="M8" s="51" t="str">
        <x:v>1 hour</x:v>
      </x:c>
      <x:c r="N8" s="51" t="str">
        <x:v>The drinker gains a climbing speed equal to walking speed and Advantage on Strength (Athletics) checks made to climb.</x:v>
      </x:c>
      <x:c r="O8" s="51" t="str">
        <x:v>Bonus Action to use or apply</x:v>
      </x:c>
      <x:c r="P8" s="39" t="str">
        <x:v>potion-of-climbing</x:v>
      </x:c>
    </x:row>
    <x:row r="9">
      <x:c r="A9" s="38" t="str">
        <x:v>Potions</x:v>
      </x:c>
      <x:c r="B9" s="51" t="str">
        <x:v>General Potions</x:v>
      </x:c>
      <x:c r="C9" s="51" t="str">
        <x:v>Potion of Comprehension</x:v>
      </x:c>
      <x:c r="D9" s="51" t="str">
        <x:v>Common</x:v>
      </x:c>
      <x:c r="E9" s="51" t="n">
        <x:v>16</x:v>
      </x:c>
      <x:c r="F9" s="51" t="str">
        <x:v>Flower</x:v>
      </x:c>
      <x:c r="G9" s="51" t="str">
        <x:v>Mineral / Salt / Ash</x:v>
      </x:c>
      <x:c r="H9" s="51" t="str">
        <x:v>Root</x:v>
      </x:c>
      <x:c r="I9" s="51" t="str">
        <x:v>Flower + Mineral / Salt / Ash + Root</x:v>
      </x:c>
      <x:c r="J9" s="51" t="str"/>
      <x:c r="K9" s="51" t="str"/>
      <x:c r="L9" s="51" t="str">
        <x:v>Optional</x:v>
      </x:c>
      <x:c r="M9" s="51" t="str">
        <x:v>1 hour</x:v>
      </x:c>
      <x:c r="N9" s="51" t="str">
        <x:v>The drinker understands the literal meaning of spoken and written languages they perceive.</x:v>
      </x:c>
      <x:c r="O9" s="51" t="str">
        <x:v>Bonus Action to use or apply</x:v>
      </x:c>
      <x:c r="P9" s="39" t="str">
        <x:v>potion-of-comprehension</x:v>
      </x:c>
    </x:row>
    <x:row r="10">
      <x:c r="A10" s="38" t="str">
        <x:v>Potions</x:v>
      </x:c>
      <x:c r="B10" s="51" t="str">
        <x:v>General Potions</x:v>
      </x:c>
      <x:c r="C10" s="51" t="str">
        <x:v>Potion of Diminution</x:v>
      </x:c>
      <x:c r="D10" s="51" t="str">
        <x:v>Rare</x:v>
      </x:c>
      <x:c r="E10" s="51" t="n">
        <x:v>28</x:v>
      </x:c>
      <x:c r="F10" s="51" t="str">
        <x:v>Mushroom</x:v>
      </x:c>
      <x:c r="G10" s="51" t="str">
        <x:v>Root</x:v>
      </x:c>
      <x:c r="H10" s="51" t="str">
        <x:v>Flower</x:v>
      </x:c>
      <x:c r="I10" s="51" t="str">
        <x:v>Mushroom + Root + Flower</x:v>
      </x:c>
      <x:c r="J10" s="51" t="str"/>
      <x:c r="K10" s="51" t="str"/>
      <x:c r="L10" s="51" t="str">
        <x:v>Optional</x:v>
      </x:c>
      <x:c r="M10" s="51" t="str">
        <x:v>1d4 hours</x:v>
      </x:c>
      <x:c r="N10" s="51" t="str">
        <x:v>The drinker is affected as if by the reduce effect of Enlarge/Reduce.</x:v>
      </x:c>
      <x:c r="O10" s="51" t="str">
        <x:v>Bonus Action to use or apply</x:v>
      </x:c>
      <x:c r="P10" s="39" t="str">
        <x:v>potion-of-diminution</x:v>
      </x:c>
    </x:row>
    <x:row r="11">
      <x:c r="A11" s="38" t="str">
        <x:v>Potions</x:v>
      </x:c>
      <x:c r="B11" s="51" t="str">
        <x:v>General Potions</x:v>
      </x:c>
      <x:c r="C11" s="51" t="str">
        <x:v>Potion of Dragon's Majesty</x:v>
      </x:c>
      <x:c r="D11" s="51" t="str">
        <x:v>Legendary</x:v>
      </x:c>
      <x:c r="E11" s="51" t="n">
        <x:v>40</x:v>
      </x:c>
      <x:c r="F11" s="51" t="str">
        <x:v>Mushroom</x:v>
      </x:c>
      <x:c r="G11" s="51" t="str">
        <x:v>Thorn / Bark / Wood</x:v>
      </x:c>
      <x:c r="H11" s="51" t="str">
        <x:v>Mineral / Salt / Ash</x:v>
      </x:c>
      <x:c r="I11" s="51" t="str">
        <x:v>Mushroom + Thorn / Bark / Wood + Mineral / Salt / Ash</x:v>
      </x:c>
      <x:c r="J11" s="51" t="str"/>
      <x:c r="K11" s="51" t="str"/>
      <x:c r="L11" s="51" t="str">
        <x:v>Required</x:v>
      </x:c>
      <x:c r="M11" s="51" t="str">
        <x:v>1 hour</x:v>
      </x:c>
      <x:c r="N11" s="51" t="str">
        <x:v>The drinker transforms or gains draconic majesty by DM ruling, often including flight, breath, or imposing presence.</x:v>
      </x:c>
      <x:c r="O11" s="51" t="str">
        <x:v>Bonus Action to use or apply</x:v>
      </x:c>
      <x:c r="P11" s="39" t="str">
        <x:v>potion-of-dragon-s-majesty</x:v>
      </x:c>
    </x:row>
    <x:row r="12">
      <x:c r="A12" s="38" t="str">
        <x:v>Potions</x:v>
      </x:c>
      <x:c r="B12" s="51" t="str">
        <x:v>General Potions</x:v>
      </x:c>
      <x:c r="C12" s="51" t="str">
        <x:v>Potion of Fire Breath</x:v>
      </x:c>
      <x:c r="D12" s="51" t="str">
        <x:v>Uncommon</x:v>
      </x:c>
      <x:c r="E12" s="51" t="n">
        <x:v>22</x:v>
      </x:c>
      <x:c r="F12" s="51" t="str">
        <x:v>Mineral / Salt / Ash</x:v>
      </x:c>
      <x:c r="G12" s="51" t="str">
        <x:v>Sap / Resin</x:v>
      </x:c>
      <x:c r="H12" s="51" t="str">
        <x:v>Thorn / Bark / Wood</x:v>
      </x:c>
      <x:c r="I12" s="51" t="str">
        <x:v>Mineral / Salt / Ash + Sap / Resin + Thorn / Bark / Wood</x:v>
      </x:c>
      <x:c r="J12" s="51" t="str"/>
      <x:c r="K12" s="51" t="str"/>
      <x:c r="L12" s="51" t="str">
        <x:v>Required</x:v>
      </x:c>
      <x:c r="M12" s="51" t="str">
        <x:v>1 hour or 3 uses</x:v>
      </x:c>
      <x:c r="N12" s="51" t="str">
        <x:v>The drinker can exhale fire up to three times; creatures in the area make a Dexterity save or take fire damage.</x:v>
      </x:c>
      <x:c r="O12" s="51" t="str">
        <x:v>Bonus Action to use or apply</x:v>
      </x:c>
      <x:c r="P12" s="39" t="str">
        <x:v>potion-of-fire-breath</x:v>
      </x:c>
    </x:row>
    <x:row r="13">
      <x:c r="A13" s="38" t="str">
        <x:v>Potions</x:v>
      </x:c>
      <x:c r="B13" s="51" t="str">
        <x:v>General Potions</x:v>
      </x:c>
      <x:c r="C13" s="51" t="str">
        <x:v>Potion of Flying</x:v>
      </x:c>
      <x:c r="D13" s="51" t="str">
        <x:v>Very Rare</x:v>
      </x:c>
      <x:c r="E13" s="51" t="n">
        <x:v>34</x:v>
      </x:c>
      <x:c r="F13" s="51" t="str">
        <x:v>Leaf / Vine</x:v>
      </x:c>
      <x:c r="G13" s="51" t="str">
        <x:v>Flower</x:v>
      </x:c>
      <x:c r="H13" s="51" t="str">
        <x:v>Sap / Resin</x:v>
      </x:c>
      <x:c r="I13" s="51" t="str">
        <x:v>Leaf / Vine + Flower + Sap / Resin</x:v>
      </x:c>
      <x:c r="J13" s="51" t="str"/>
      <x:c r="K13" s="51" t="str"/>
      <x:c r="L13" s="51" t="str">
        <x:v>Optional</x:v>
      </x:c>
      <x:c r="M13" s="51" t="str">
        <x:v>1 hour</x:v>
      </x:c>
      <x:c r="N13" s="51" t="str">
        <x:v>The drinker gains a flying speed equal to walking speed and can hover by DM ruling.</x:v>
      </x:c>
      <x:c r="O13" s="51" t="str">
        <x:v>Bonus Action to use or apply</x:v>
      </x:c>
      <x:c r="P13" s="39" t="str">
        <x:v>potion-of-flying</x:v>
      </x:c>
    </x:row>
    <x:row r="14">
      <x:c r="A14" s="38" t="str">
        <x:v>Potions</x:v>
      </x:c>
      <x:c r="B14" s="51" t="str">
        <x:v>General Potions</x:v>
      </x:c>
      <x:c r="C14" s="51" t="str">
        <x:v>Potion of Gaseous Form</x:v>
      </x:c>
      <x:c r="D14" s="51" t="str">
        <x:v>Rare</x:v>
      </x:c>
      <x:c r="E14" s="51" t="n">
        <x:v>28</x:v>
      </x:c>
      <x:c r="F14" s="51" t="str">
        <x:v>Leaf / Vine</x:v>
      </x:c>
      <x:c r="G14" s="51" t="str">
        <x:v>Flower</x:v>
      </x:c>
      <x:c r="H14" s="51" t="str">
        <x:v>Mineral / Salt / Ash</x:v>
      </x:c>
      <x:c r="I14" s="51" t="str">
        <x:v>Leaf / Vine + Flower + Mineral / Salt / Ash</x:v>
      </x:c>
      <x:c r="J14" s="51" t="str"/>
      <x:c r="K14" s="51" t="str"/>
      <x:c r="L14" s="51" t="str">
        <x:v>Optional</x:v>
      </x:c>
      <x:c r="M14" s="51" t="str">
        <x:v>1 hour</x:v>
      </x:c>
      <x:c r="N14" s="51" t="str">
        <x:v>The drinker gains the effect of Gaseous Form.</x:v>
      </x:c>
      <x:c r="O14" s="51" t="str">
        <x:v>Bonus Action to use or apply</x:v>
      </x:c>
      <x:c r="P14" s="39" t="str">
        <x:v>potion-of-gaseous-form</x:v>
      </x:c>
    </x:row>
    <x:row r="15">
      <x:c r="A15" s="38" t="str">
        <x:v>Potions</x:v>
      </x:c>
      <x:c r="B15" s="51" t="str">
        <x:v>General Potions</x:v>
      </x:c>
      <x:c r="C15" s="51" t="str">
        <x:v>Potion of Giant Size</x:v>
      </x:c>
      <x:c r="D15" s="51" t="str">
        <x:v>Legendary</x:v>
      </x:c>
      <x:c r="E15" s="51" t="n">
        <x:v>40</x:v>
      </x:c>
      <x:c r="F15" s="51" t="str">
        <x:v>Root</x:v>
      </x:c>
      <x:c r="G15" s="51" t="str">
        <x:v>Thorn / Bark / Wood</x:v>
      </x:c>
      <x:c r="H15" s="51" t="str">
        <x:v>Mushroom</x:v>
      </x:c>
      <x:c r="I15" s="51" t="str">
        <x:v>Root + Thorn / Bark / Wood + Mushroom</x:v>
      </x:c>
      <x:c r="J15" s="51" t="str"/>
      <x:c r="K15" s="51" t="str"/>
      <x:c r="L15" s="51" t="str">
        <x:v>Required</x:v>
      </x:c>
      <x:c r="M15" s="51" t="str">
        <x:v>24 hours</x:v>
      </x:c>
      <x:c r="N15" s="51" t="str">
        <x:v>The drinker becomes Huge, gains increased reach, and deals extra weapon damage by DM ruling.</x:v>
      </x:c>
      <x:c r="O15" s="51" t="str">
        <x:v>Bonus Action to use or apply</x:v>
      </x:c>
      <x:c r="P15" s="39" t="str">
        <x:v>potion-of-giant-size</x:v>
      </x:c>
    </x:row>
    <x:row r="16">
      <x:c r="A16" s="38" t="str">
        <x:v>Potions</x:v>
      </x:c>
      <x:c r="B16" s="51" t="str">
        <x:v>General Potions</x:v>
      </x:c>
      <x:c r="C16" s="51" t="str">
        <x:v>Potion of Growth</x:v>
      </x:c>
      <x:c r="D16" s="51" t="str">
        <x:v>Uncommon</x:v>
      </x:c>
      <x:c r="E16" s="51" t="n">
        <x:v>22</x:v>
      </x:c>
      <x:c r="F16" s="51" t="str">
        <x:v>Root</x:v>
      </x:c>
      <x:c r="G16" s="51" t="str">
        <x:v>Thorn / Bark / Wood</x:v>
      </x:c>
      <x:c r="H16" s="51" t="str">
        <x:v>Mushroom</x:v>
      </x:c>
      <x:c r="I16" s="51" t="str">
        <x:v>Root + Thorn / Bark / Wood + Mushroom</x:v>
      </x:c>
      <x:c r="J16" s="51" t="str"/>
      <x:c r="K16" s="51" t="str"/>
      <x:c r="L16" s="51" t="str">
        <x:v>Optional</x:v>
      </x:c>
      <x:c r="M16" s="51" t="str">
        <x:v>1d4 hours</x:v>
      </x:c>
      <x:c r="N16" s="51" t="str">
        <x:v>The drinker is affected as if by the enlarge effect of Enlarge/Reduce.</x:v>
      </x:c>
      <x:c r="O16" s="51" t="str">
        <x:v>Bonus Action to use or apply</x:v>
      </x:c>
      <x:c r="P16" s="39" t="str">
        <x:v>potion-of-growth</x:v>
      </x:c>
    </x:row>
    <x:row r="17">
      <x:c r="A17" s="38" t="str">
        <x:v>Potions</x:v>
      </x:c>
      <x:c r="B17" s="51" t="str">
        <x:v>General Potions</x:v>
      </x:c>
      <x:c r="C17" s="51" t="str">
        <x:v>Potion of Healing</x:v>
      </x:c>
      <x:c r="D17" s="51" t="str">
        <x:v>Common</x:v>
      </x:c>
      <x:c r="E17" s="51" t="n">
        <x:v>16</x:v>
      </x:c>
      <x:c r="F17" s="51" t="str">
        <x:v>Mushroom</x:v>
      </x:c>
      <x:c r="G17" s="51" t="str">
        <x:v>Mushroom</x:v>
      </x:c>
      <x:c r="H17" s="51" t="str">
        <x:v>Root</x:v>
      </x:c>
      <x:c r="I17" s="51" t="str">
        <x:v>Mushroom + Mushroom + Root</x:v>
      </x:c>
      <x:c r="J17" s="51" t="str"/>
      <x:c r="K17" s="51" t="str"/>
      <x:c r="L17" s="51" t="str">
        <x:v>Optional</x:v>
      </x:c>
      <x:c r="M17" s="51" t="str">
        <x:v>Instant</x:v>
      </x:c>
      <x:c r="N17" s="51" t="str">
        <x:v>The drinker regains 2d4 + 2 HP. Ingredient bonuses scale the dice and attached flat modifier.</x:v>
      </x:c>
      <x:c r="O17" s="51" t="str">
        <x:v>Bonus Action to use or apply</x:v>
      </x:c>
      <x:c r="P17" s="39" t="str">
        <x:v>potion-of-healing</x:v>
      </x:c>
    </x:row>
    <x:row r="18">
      <x:c r="A18" s="38" t="str">
        <x:v>Potions</x:v>
      </x:c>
      <x:c r="B18" s="51" t="str">
        <x:v>General Potions</x:v>
      </x:c>
      <x:c r="C18" s="51" t="str">
        <x:v>Potion of Heroism</x:v>
      </x:c>
      <x:c r="D18" s="51" t="str">
        <x:v>Rare</x:v>
      </x:c>
      <x:c r="E18" s="51" t="n">
        <x:v>28</x:v>
      </x:c>
      <x:c r="F18" s="51" t="str">
        <x:v>Root</x:v>
      </x:c>
      <x:c r="G18" s="51" t="str">
        <x:v>Flower</x:v>
      </x:c>
      <x:c r="H18" s="51" t="str">
        <x:v>Thorn / Bark / Wood</x:v>
      </x:c>
      <x:c r="I18" s="51" t="str">
        <x:v>Root + Flower + Thorn / Bark / Wood</x:v>
      </x:c>
      <x:c r="J18" s="51" t="str"/>
      <x:c r="K18" s="51" t="str"/>
      <x:c r="L18" s="51" t="str">
        <x:v>Optional</x:v>
      </x:c>
      <x:c r="M18" s="51" t="str">
        <x:v>1 hour</x:v>
      </x:c>
      <x:c r="N18" s="51" t="str">
        <x:v>The drinker gains temporary HP and is affected as if by Bless, by DM ruling.</x:v>
      </x:c>
      <x:c r="O18" s="51" t="str">
        <x:v>Bonus Action to use or apply</x:v>
      </x:c>
      <x:c r="P18" s="39" t="str">
        <x:v>potion-of-heroism</x:v>
      </x:c>
    </x:row>
    <x:row r="19">
      <x:c r="A19" s="38" t="str">
        <x:v>Potions</x:v>
      </x:c>
      <x:c r="B19" s="51" t="str">
        <x:v>General Potions</x:v>
      </x:c>
      <x:c r="C19" s="51" t="str">
        <x:v>Potion of Invisibility</x:v>
      </x:c>
      <x:c r="D19" s="51" t="str">
        <x:v>Very Rare</x:v>
      </x:c>
      <x:c r="E19" s="51" t="n">
        <x:v>34</x:v>
      </x:c>
      <x:c r="F19" s="51" t="str">
        <x:v>Moss / Lichen</x:v>
      </x:c>
      <x:c r="G19" s="51" t="str">
        <x:v>Flower</x:v>
      </x:c>
      <x:c r="H19" s="51" t="str">
        <x:v>Leaf / Vine</x:v>
      </x:c>
      <x:c r="I19" s="51" t="str">
        <x:v>Moss / Lichen + Flower + Leaf / Vine</x:v>
      </x:c>
      <x:c r="J19" s="51" t="str"/>
      <x:c r="K19" s="51" t="str"/>
      <x:c r="L19" s="51" t="str">
        <x:v>Optional</x:v>
      </x:c>
      <x:c r="M19" s="51" t="str">
        <x:v>1 hour</x:v>
      </x:c>
      <x:c r="N19" s="51" t="str">
        <x:v>The drinker becomes invisible until they attack, cast a spell, or the duration ends.</x:v>
      </x:c>
      <x:c r="O19" s="51" t="str">
        <x:v>Bonus Action to use or apply</x:v>
      </x:c>
      <x:c r="P19" s="39" t="str">
        <x:v>potion-of-invisibility</x:v>
      </x:c>
    </x:row>
    <x:row r="20">
      <x:c r="A20" s="38" t="str">
        <x:v>Potions</x:v>
      </x:c>
      <x:c r="B20" s="51" t="str">
        <x:v>General Potions</x:v>
      </x:c>
      <x:c r="C20" s="51" t="str">
        <x:v>Potion of Invulnerability</x:v>
      </x:c>
      <x:c r="D20" s="51" t="str">
        <x:v>Legendary</x:v>
      </x:c>
      <x:c r="E20" s="51" t="n">
        <x:v>40</x:v>
      </x:c>
      <x:c r="F20" s="51" t="str">
        <x:v>Thorn / Bark / Wood</x:v>
      </x:c>
      <x:c r="G20" s="51" t="str">
        <x:v>Root</x:v>
      </x:c>
      <x:c r="H20" s="51" t="str">
        <x:v>Mineral / Salt / Ash</x:v>
      </x:c>
      <x:c r="I20" s="51" t="str">
        <x:v>Thorn / Bark / Wood + Root + Mineral / Salt / Ash</x:v>
      </x:c>
      <x:c r="J20" s="51" t="str"/>
      <x:c r="K20" s="51" t="str"/>
      <x:c r="L20" s="51" t="str">
        <x:v>Optional</x:v>
      </x:c>
      <x:c r="M20" s="51" t="str">
        <x:v>1 minute</x:v>
      </x:c>
      <x:c r="N20" s="51" t="str">
        <x:v>The drinker gains resistance to all damage.</x:v>
      </x:c>
      <x:c r="O20" s="51" t="str">
        <x:v>Bonus Action to use or apply</x:v>
      </x:c>
      <x:c r="P20" s="39" t="str">
        <x:v>potion-of-invulnerability</x:v>
      </x:c>
    </x:row>
    <x:row r="21">
      <x:c r="A21" s="38" t="str">
        <x:v>Potions</x:v>
      </x:c>
      <x:c r="B21" s="51" t="str">
        <x:v>General Potions</x:v>
      </x:c>
      <x:c r="C21" s="51" t="str">
        <x:v>Potion of Mind Reading</x:v>
      </x:c>
      <x:c r="D21" s="51" t="str">
        <x:v>Rare</x:v>
      </x:c>
      <x:c r="E21" s="51" t="n">
        <x:v>28</x:v>
      </x:c>
      <x:c r="F21" s="51" t="str">
        <x:v>Flower</x:v>
      </x:c>
      <x:c r="G21" s="51" t="str">
        <x:v>Mineral / Salt / Ash</x:v>
      </x:c>
      <x:c r="H21" s="51" t="str">
        <x:v>Moss / Lichen</x:v>
      </x:c>
      <x:c r="I21" s="51" t="str">
        <x:v>Flower + Mineral / Salt / Ash + Moss / Lichen</x:v>
      </x:c>
      <x:c r="J21" s="51" t="str"/>
      <x:c r="K21" s="51" t="str"/>
      <x:c r="L21" s="51" t="str">
        <x:v>Optional</x:v>
      </x:c>
      <x:c r="M21" s="51" t="str">
        <x:v>1 hour</x:v>
      </x:c>
      <x:c r="N21" s="51" t="str">
        <x:v>The drinker gains the effect of Detect Thoughts.</x:v>
      </x:c>
      <x:c r="O21" s="51" t="str">
        <x:v>Bonus Action to use or apply</x:v>
      </x:c>
      <x:c r="P21" s="39" t="str">
        <x:v>potion-of-mind-reading</x:v>
      </x:c>
    </x:row>
    <x:row r="22">
      <x:c r="A22" s="38" t="str">
        <x:v>Potions</x:v>
      </x:c>
      <x:c r="B22" s="51" t="str">
        <x:v>General Potions</x:v>
      </x:c>
      <x:c r="C22" s="51" t="str">
        <x:v>Potion of Regeneration</x:v>
      </x:c>
      <x:c r="D22" s="51" t="str">
        <x:v>Rare</x:v>
      </x:c>
      <x:c r="E22" s="51" t="n">
        <x:v>28</x:v>
      </x:c>
      <x:c r="F22" s="51" t="str">
        <x:v>Mushroom</x:v>
      </x:c>
      <x:c r="G22" s="51" t="str">
        <x:v>Sap / Resin</x:v>
      </x:c>
      <x:c r="H22" s="51" t="str">
        <x:v>Root</x:v>
      </x:c>
      <x:c r="I22" s="51" t="str">
        <x:v>Mushroom + Sap / Resin + Root</x:v>
      </x:c>
      <x:c r="J22" s="51" t="str"/>
      <x:c r="K22" s="51" t="str"/>
      <x:c r="L22" s="51" t="str">
        <x:v>Optional</x:v>
      </x:c>
      <x:c r="M22" s="51" t="str">
        <x:v>1 minute</x:v>
      </x:c>
      <x:c r="N22" s="51" t="str">
        <x:v>At the start of each of the drinker's turns, the drinker regains 1d4 HP for the duration.</x:v>
      </x:c>
      <x:c r="O22" s="51" t="str">
        <x:v>Bonus Action to use or apply</x:v>
      </x:c>
      <x:c r="P22" s="39" t="str">
        <x:v>potion-of-regeneration</x:v>
      </x:c>
    </x:row>
    <x:row r="23">
      <x:c r="A23" s="38" t="str">
        <x:v>Potions</x:v>
      </x:c>
      <x:c r="B23" s="51" t="str">
        <x:v>General Potions</x:v>
      </x:c>
      <x:c r="C23" s="51" t="str">
        <x:v>Potion of Speed</x:v>
      </x:c>
      <x:c r="D23" s="51" t="str">
        <x:v>Very Rare</x:v>
      </x:c>
      <x:c r="E23" s="51" t="n">
        <x:v>34</x:v>
      </x:c>
      <x:c r="F23" s="51" t="str">
        <x:v>Leaf / Vine</x:v>
      </x:c>
      <x:c r="G23" s="51" t="str">
        <x:v>Flower</x:v>
      </x:c>
      <x:c r="H23" s="51" t="str">
        <x:v>Sap / Resin</x:v>
      </x:c>
      <x:c r="I23" s="51" t="str">
        <x:v>Leaf / Vine + Flower + Sap / Resin</x:v>
      </x:c>
      <x:c r="J23" s="51" t="str"/>
      <x:c r="K23" s="51" t="str"/>
      <x:c r="L23" s="51" t="str">
        <x:v>Optional</x:v>
      </x:c>
      <x:c r="M23" s="51" t="str">
        <x:v>1 minute</x:v>
      </x:c>
      <x:c r="N23" s="51" t="str">
        <x:v>The drinker gains the effect of Haste.</x:v>
      </x:c>
      <x:c r="O23" s="51" t="str">
        <x:v>Bonus Action to use or apply</x:v>
      </x:c>
      <x:c r="P23" s="39" t="str">
        <x:v>potion-of-speed</x:v>
      </x:c>
    </x:row>
    <x:row r="24">
      <x:c r="A24" s="38" t="str">
        <x:v>Potions</x:v>
      </x:c>
      <x:c r="B24" s="51" t="str">
        <x:v>General Potions</x:v>
      </x:c>
      <x:c r="C24" s="51" t="str">
        <x:v>Potion of Storm Giant Strength</x:v>
      </x:c>
      <x:c r="D24" s="51" t="str">
        <x:v>Legendary</x:v>
      </x:c>
      <x:c r="E24" s="51" t="n">
        <x:v>40</x:v>
      </x:c>
      <x:c r="F24" s="51" t="str">
        <x:v>Root</x:v>
      </x:c>
      <x:c r="G24" s="51" t="str">
        <x:v>Thorn / Bark / Wood</x:v>
      </x:c>
      <x:c r="H24" s="51" t="str">
        <x:v>Mineral / Salt / Ash</x:v>
      </x:c>
      <x:c r="I24" s="51" t="str">
        <x:v>Root + Thorn / Bark / Wood + Mineral / Salt / Ash</x:v>
      </x:c>
      <x:c r="J24" s="51" t="str"/>
      <x:c r="K24" s="51" t="str"/>
      <x:c r="L24" s="51" t="str">
        <x:v>Required</x:v>
      </x:c>
      <x:c r="M24" s="51" t="str">
        <x:v>1 hour</x:v>
      </x:c>
      <x:c r="N24" s="51" t="str">
        <x:v>The drinker's Strength becomes 29 unless their Strength is already equal or higher.</x:v>
      </x:c>
      <x:c r="O24" s="51" t="str">
        <x:v>Bonus Action to use or apply</x:v>
      </x:c>
      <x:c r="P24" s="39" t="str">
        <x:v>potion-of-storm-giant-strength</x:v>
      </x:c>
    </x:row>
    <x:row r="25">
      <x:c r="A25" s="38" t="str">
        <x:v>Potions</x:v>
      </x:c>
      <x:c r="B25" s="51" t="str">
        <x:v>General Potions</x:v>
      </x:c>
      <x:c r="C25" s="51" t="str">
        <x:v>Potion of Watchful Rest</x:v>
      </x:c>
      <x:c r="D25" s="51" t="str">
        <x:v>Common</x:v>
      </x:c>
      <x:c r="E25" s="51" t="n">
        <x:v>16</x:v>
      </x:c>
      <x:c r="F25" s="51" t="str">
        <x:v>Flower</x:v>
      </x:c>
      <x:c r="G25" s="51" t="str">
        <x:v>Moss / Lichen</x:v>
      </x:c>
      <x:c r="H25" s="51" t="str">
        <x:v>Root</x:v>
      </x:c>
      <x:c r="I25" s="51" t="str">
        <x:v>Flower + Moss / Lichen + Root</x:v>
      </x:c>
      <x:c r="J25" s="51" t="str"/>
      <x:c r="K25" s="51" t="str"/>
      <x:c r="L25" s="51" t="str">
        <x:v>Optional</x:v>
      </x:c>
      <x:c r="M25" s="51" t="str">
        <x:v>8 hours</x:v>
      </x:c>
      <x:c r="N25" s="51" t="str">
        <x:v>The drinker remains alert during rest and can avoid the worst effects of magical sleep by DM ruling.</x:v>
      </x:c>
      <x:c r="O25" s="51" t="str">
        <x:v>Bonus Action to use or apply</x:v>
      </x:c>
      <x:c r="P25" s="39" t="str">
        <x:v>potion-of-watchful-rest</x:v>
      </x:c>
    </x:row>
    <x:row r="26">
      <x:c r="A26" s="38" t="str">
        <x:v>Potions</x:v>
      </x:c>
      <x:c r="B26" s="51" t="str">
        <x:v>General Potions</x:v>
      </x:c>
      <x:c r="C26" s="51" t="str">
        <x:v>Potion of Water Breathing</x:v>
      </x:c>
      <x:c r="D26" s="51" t="str">
        <x:v>Uncommon</x:v>
      </x:c>
      <x:c r="E26" s="51" t="n">
        <x:v>22</x:v>
      </x:c>
      <x:c r="F26" s="51" t="str">
        <x:v>Flower</x:v>
      </x:c>
      <x:c r="G26" s="51" t="str">
        <x:v>Sap / Resin</x:v>
      </x:c>
      <x:c r="H26" s="51" t="str">
        <x:v>Mineral / Salt / Ash</x:v>
      </x:c>
      <x:c r="I26" s="51" t="str">
        <x:v>Flower + Sap / Resin + Mineral / Salt / Ash</x:v>
      </x:c>
      <x:c r="J26" s="51" t="str"/>
      <x:c r="K26" s="51" t="str"/>
      <x:c r="L26" s="51" t="str">
        <x:v>Optional</x:v>
      </x:c>
      <x:c r="M26" s="51" t="str">
        <x:v>1 hour</x:v>
      </x:c>
      <x:c r="N26" s="51" t="str">
        <x:v>The drinker can breathe underwater.</x:v>
      </x:c>
      <x:c r="O26" s="51" t="str">
        <x:v>Bonus Action to use or apply</x:v>
      </x:c>
      <x:c r="P26" s="39" t="str">
        <x:v>potion-of-water-breathing</x:v>
      </x:c>
    </x:row>
    <x:row r="27">
      <x:c r="A27" s="38" t="str">
        <x:v>Potions</x:v>
      </x:c>
      <x:c r="B27" s="51" t="str">
        <x:v>General Potions</x:v>
      </x:c>
      <x:c r="C27" s="51" t="str">
        <x:v>Quickstep Tonic</x:v>
      </x:c>
      <x:c r="D27" s="51" t="str">
        <x:v>Uncommon</x:v>
      </x:c>
      <x:c r="E27" s="51" t="n">
        <x:v>22</x:v>
      </x:c>
      <x:c r="F27" s="51" t="str">
        <x:v>Leaf / Vine</x:v>
      </x:c>
      <x:c r="G27" s="51" t="str">
        <x:v>Flower</x:v>
      </x:c>
      <x:c r="H27" s="51" t="str">
        <x:v>Sap / Resin</x:v>
      </x:c>
      <x:c r="I27" s="51" t="str">
        <x:v>Leaf / Vine + Flower + Sap / Resin</x:v>
      </x:c>
      <x:c r="J27" s="51" t="str"/>
      <x:c r="K27" s="51" t="str"/>
      <x:c r="L27" s="51" t="str">
        <x:v>Optional</x:v>
      </x:c>
      <x:c r="M27" s="51" t="str">
        <x:v>1 minute</x:v>
      </x:c>
      <x:c r="N27" s="51" t="str">
        <x:v>The drinker gains a short burst of speed; suggested effect is +10 ft. speed and Advantage on initiative checks.</x:v>
      </x:c>
      <x:c r="O27" s="51" t="str">
        <x:v>Bonus Action to use or apply</x:v>
      </x:c>
      <x:c r="P27" s="39" t="str">
        <x:v>quickstep-tonic</x:v>
      </x:c>
    </x:row>
    <x:row r="28">
      <x:c r="A28" s="38" t="str">
        <x:v>Poisons</x:v>
      </x:c>
      <x:c r="B28" s="51" t="str">
        <x:v>Ability Poisons</x:v>
      </x:c>
      <x:c r="C28" s="51" t="str">
        <x:v>Poison of Charisma Weakening</x:v>
      </x:c>
      <x:c r="D28" s="51" t="str">
        <x:v>Rare</x:v>
      </x:c>
      <x:c r="E28" s="51" t="n">
        <x:v>28</x:v>
      </x:c>
      <x:c r="F28" s="51" t="str">
        <x:v>Venom / Poison Plant</x:v>
      </x:c>
      <x:c r="G28" s="51" t="str">
        <x:v>Flower</x:v>
      </x:c>
      <x:c r="H28" s="51" t="str">
        <x:v>Sap / Resin</x:v>
      </x:c>
      <x:c r="I28" s="51" t="str">
        <x:v>Venom / Poison Plant + Flower + Sap / Resin</x:v>
      </x:c>
      <x:c r="J28" s="51" t="str"/>
      <x:c r="K28" s="51" t="str"/>
      <x:c r="L28" s="51" t="str">
        <x:v>Optional</x:v>
      </x:c>
      <x:c r="M28" s="51" t="str">
        <x:v>1 hour</x:v>
      </x:c>
      <x:c r="N28" s="51" t="str">
        <x:v>The target chooses Constitution or Charisma before rolling. On a failed save, Charisma is reduced by 1d6 temporarily.</x:v>
      </x:c>
      <x:c r="O28" s="51" t="str">
        <x:v>Bonus Action to use or apply</x:v>
      </x:c>
      <x:c r="P28" s="39" t="str">
        <x:v>poison-of-charisma-weakening</x:v>
      </x:c>
    </x:row>
    <x:row r="29">
      <x:c r="A29" s="38" t="str">
        <x:v>Poisons</x:v>
      </x:c>
      <x:c r="B29" s="51" t="str">
        <x:v>Ability Poisons</x:v>
      </x:c>
      <x:c r="C29" s="51" t="str">
        <x:v>Poison of Constitution Weakening</x:v>
      </x:c>
      <x:c r="D29" s="51" t="str">
        <x:v>Rare</x:v>
      </x:c>
      <x:c r="E29" s="51" t="n">
        <x:v>28</x:v>
      </x:c>
      <x:c r="F29" s="51" t="str">
        <x:v>Venom / Poison Plant</x:v>
      </x:c>
      <x:c r="G29" s="51" t="str">
        <x:v>Mushroom</x:v>
      </x:c>
      <x:c r="H29" s="51" t="str">
        <x:v>Root</x:v>
      </x:c>
      <x:c r="I29" s="51" t="str">
        <x:v>Venom / Poison Plant + Mushroom + Root</x:v>
      </x:c>
      <x:c r="J29" s="51" t="str"/>
      <x:c r="K29" s="51" t="str"/>
      <x:c r="L29" s="51" t="str">
        <x:v>Optional</x:v>
      </x:c>
      <x:c r="M29" s="51" t="str">
        <x:v>1 hour</x:v>
      </x:c>
      <x:c r="N29" s="51" t="str">
        <x:v>The target chooses Constitution or Constitution before rolling. On a failed save, Constitution is reduced by 1d6 temporarily.</x:v>
      </x:c>
      <x:c r="O29" s="51" t="str">
        <x:v>Bonus Action to use or apply</x:v>
      </x:c>
      <x:c r="P29" s="39" t="str">
        <x:v>poison-of-constitution-weakening</x:v>
      </x:c>
    </x:row>
    <x:row r="30">
      <x:c r="A30" s="38" t="str">
        <x:v>Poisons</x:v>
      </x:c>
      <x:c r="B30" s="51" t="str">
        <x:v>Ability Poisons</x:v>
      </x:c>
      <x:c r="C30" s="51" t="str">
        <x:v>Poison of Dexterity Weakening</x:v>
      </x:c>
      <x:c r="D30" s="51" t="str">
        <x:v>Rare</x:v>
      </x:c>
      <x:c r="E30" s="51" t="n">
        <x:v>28</x:v>
      </x:c>
      <x:c r="F30" s="51" t="str">
        <x:v>Venom / Poison Plant</x:v>
      </x:c>
      <x:c r="G30" s="51" t="str">
        <x:v>Leaf / Vine</x:v>
      </x:c>
      <x:c r="H30" s="51" t="str">
        <x:v>Flower</x:v>
      </x:c>
      <x:c r="I30" s="51" t="str">
        <x:v>Venom / Poison Plant + Leaf / Vine + Flower</x:v>
      </x:c>
      <x:c r="J30" s="51" t="str"/>
      <x:c r="K30" s="51" t="str"/>
      <x:c r="L30" s="51" t="str">
        <x:v>Optional</x:v>
      </x:c>
      <x:c r="M30" s="51" t="str">
        <x:v>1 hour</x:v>
      </x:c>
      <x:c r="N30" s="51" t="str">
        <x:v>The target chooses Constitution or Dexterity before rolling. On a failed save, Dexterity is reduced by 1d6 temporarily.</x:v>
      </x:c>
      <x:c r="O30" s="51" t="str">
        <x:v>Bonus Action to use or apply</x:v>
      </x:c>
      <x:c r="P30" s="39" t="str">
        <x:v>poison-of-dexterity-weakening</x:v>
      </x:c>
    </x:row>
    <x:row r="31">
      <x:c r="A31" s="38" t="str">
        <x:v>Poisons</x:v>
      </x:c>
      <x:c r="B31" s="51" t="str">
        <x:v>Ability Poisons</x:v>
      </x:c>
      <x:c r="C31" s="51" t="str">
        <x:v>Poison of Intelligence Weakening</x:v>
      </x:c>
      <x:c r="D31" s="51" t="str">
        <x:v>Rare</x:v>
      </x:c>
      <x:c r="E31" s="51" t="n">
        <x:v>28</x:v>
      </x:c>
      <x:c r="F31" s="51" t="str">
        <x:v>Venom / Poison Plant</x:v>
      </x:c>
      <x:c r="G31" s="51" t="str">
        <x:v>Flower</x:v>
      </x:c>
      <x:c r="H31" s="51" t="str">
        <x:v>Mineral / Salt / Ash</x:v>
      </x:c>
      <x:c r="I31" s="51" t="str">
        <x:v>Venom / Poison Plant + Flower + Mineral / Salt / Ash</x:v>
      </x:c>
      <x:c r="J31" s="51" t="str"/>
      <x:c r="K31" s="51" t="str"/>
      <x:c r="L31" s="51" t="str">
        <x:v>Optional</x:v>
      </x:c>
      <x:c r="M31" s="51" t="str">
        <x:v>1 hour</x:v>
      </x:c>
      <x:c r="N31" s="51" t="str">
        <x:v>The target chooses Constitution or Intelligence before rolling. On a failed save, Intelligence is reduced by 1d6 temporarily.</x:v>
      </x:c>
      <x:c r="O31" s="51" t="str">
        <x:v>Bonus Action to use or apply</x:v>
      </x:c>
      <x:c r="P31" s="39" t="str">
        <x:v>poison-of-intelligence-weakening</x:v>
      </x:c>
    </x:row>
    <x:row r="32">
      <x:c r="A32" s="38" t="str">
        <x:v>Poisons</x:v>
      </x:c>
      <x:c r="B32" s="51" t="str">
        <x:v>Ability Poisons</x:v>
      </x:c>
      <x:c r="C32" s="51" t="str">
        <x:v>Poison of Strength Weakening</x:v>
      </x:c>
      <x:c r="D32" s="51" t="str">
        <x:v>Rare</x:v>
      </x:c>
      <x:c r="E32" s="51" t="n">
        <x:v>28</x:v>
      </x:c>
      <x:c r="F32" s="51" t="str">
        <x:v>Venom / Poison Plant</x:v>
      </x:c>
      <x:c r="G32" s="51" t="str">
        <x:v>Root</x:v>
      </x:c>
      <x:c r="H32" s="51" t="str">
        <x:v>Thorn / Bark / Wood</x:v>
      </x:c>
      <x:c r="I32" s="51" t="str">
        <x:v>Venom / Poison Plant + Root + Thorn / Bark / Wood</x:v>
      </x:c>
      <x:c r="J32" s="51" t="str"/>
      <x:c r="K32" s="51" t="str"/>
      <x:c r="L32" s="51" t="str">
        <x:v>Optional</x:v>
      </x:c>
      <x:c r="M32" s="51" t="str">
        <x:v>1 hour</x:v>
      </x:c>
      <x:c r="N32" s="51" t="str">
        <x:v>The target chooses Constitution or Strength before rolling. On a failed save, Strength is reduced by 1d6 temporarily.</x:v>
      </x:c>
      <x:c r="O32" s="51" t="str">
        <x:v>Bonus Action to use or apply</x:v>
      </x:c>
      <x:c r="P32" s="39" t="str">
        <x:v>poison-of-strength-weakening</x:v>
      </x:c>
    </x:row>
    <x:row r="33">
      <x:c r="A33" s="38" t="str">
        <x:v>Poisons</x:v>
      </x:c>
      <x:c r="B33" s="51" t="str">
        <x:v>Ability Poisons</x:v>
      </x:c>
      <x:c r="C33" s="51" t="str">
        <x:v>Poison of Wisdom Weakening</x:v>
      </x:c>
      <x:c r="D33" s="51" t="str">
        <x:v>Rare</x:v>
      </x:c>
      <x:c r="E33" s="51" t="n">
        <x:v>28</x:v>
      </x:c>
      <x:c r="F33" s="51" t="str">
        <x:v>Venom / Poison Plant</x:v>
      </x:c>
      <x:c r="G33" s="51" t="str">
        <x:v>Moss / Lichen</x:v>
      </x:c>
      <x:c r="H33" s="51" t="str">
        <x:v>Flower</x:v>
      </x:c>
      <x:c r="I33" s="51" t="str">
        <x:v>Venom / Poison Plant + Moss / Lichen + Flower</x:v>
      </x:c>
      <x:c r="J33" s="51" t="str"/>
      <x:c r="K33" s="51" t="str"/>
      <x:c r="L33" s="51" t="str">
        <x:v>Optional</x:v>
      </x:c>
      <x:c r="M33" s="51" t="str">
        <x:v>1 hour</x:v>
      </x:c>
      <x:c r="N33" s="51" t="str">
        <x:v>The target chooses Constitution or Wisdom before rolling. On a failed save, Wisdom is reduced by 1d6 temporarily.</x:v>
      </x:c>
      <x:c r="O33" s="51" t="str">
        <x:v>Bonus Action to use or apply</x:v>
      </x:c>
      <x:c r="P33" s="39" t="str">
        <x:v>poison-of-wisdom-weakening</x:v>
      </x:c>
    </x:row>
    <x:row r="34">
      <x:c r="A34" s="38" t="str">
        <x:v>Poisons</x:v>
      </x:c>
      <x:c r="B34" s="51" t="str">
        <x:v>Special Poisons</x:v>
      </x:c>
      <x:c r="C34" s="51" t="str">
        <x:v>Basic Poison</x:v>
      </x:c>
      <x:c r="D34" s="51" t="str">
        <x:v>Common</x:v>
      </x:c>
      <x:c r="E34" s="51" t="n">
        <x:v>16</x:v>
      </x:c>
      <x:c r="F34" s="51" t="str">
        <x:v>Venom / Poison Plant</x:v>
      </x:c>
      <x:c r="G34" s="51" t="str">
        <x:v>Mushroom</x:v>
      </x:c>
      <x:c r="H34" s="51" t="str">
        <x:v>Root</x:v>
      </x:c>
      <x:c r="I34" s="51" t="str">
        <x:v>Venom / Poison Plant + Mushroom + Root</x:v>
      </x:c>
      <x:c r="J34" s="51" t="str"/>
      <x:c r="K34" s="51" t="str"/>
      <x:c r="L34" s="51" t="str">
        <x:v>Optional</x:v>
      </x:c>
      <x:c r="M34" s="51" t="str">
        <x:v>1 minute after application</x:v>
      </x:c>
      <x:c r="N34" s="51" t="str">
        <x:v>A creature hit by the coated weapon or ammunition must make a Constitution save or take poison damage, per DM ruling.</x:v>
      </x:c>
      <x:c r="O34" s="51" t="str">
        <x:v>Bonus Action to use or apply</x:v>
      </x:c>
      <x:c r="P34" s="39" t="str">
        <x:v>basic-poison</x:v>
      </x:c>
    </x:row>
    <x:row r="35">
      <x:c r="A35" s="38" t="str">
        <x:v>Poisons</x:v>
      </x:c>
      <x:c r="B35" s="51" t="str">
        <x:v>Special Poisons</x:v>
      </x:c>
      <x:c r="C35" s="51" t="str">
        <x:v>Mindfog Poison</x:v>
      </x:c>
      <x:c r="D35" s="51" t="str">
        <x:v>Rare</x:v>
      </x:c>
      <x:c r="E35" s="51" t="n">
        <x:v>28</x:v>
      </x:c>
      <x:c r="F35" s="51" t="str">
        <x:v>Venom / Poison Plant</x:v>
      </x:c>
      <x:c r="G35" s="51" t="str">
        <x:v>Flower</x:v>
      </x:c>
      <x:c r="H35" s="51" t="str">
        <x:v>Moss / Lichen</x:v>
      </x:c>
      <x:c r="I35" s="51" t="str">
        <x:v>Venom / Poison Plant + Flower + Moss / Lichen</x:v>
      </x:c>
      <x:c r="J35" s="51" t="str"/>
      <x:c r="K35" s="51" t="str"/>
      <x:c r="L35" s="51" t="str">
        <x:v>Required</x:v>
      </x:c>
      <x:c r="M35" s="51" t="str">
        <x:v>1 minute</x:v>
      </x:c>
      <x:c r="N35" s="51" t="str">
        <x:v>The target makes a Wisdom saving throw. On a failure, it is Confused for 1 minute and repeats the save at the end of each turn.</x:v>
      </x:c>
      <x:c r="O35" s="51" t="str">
        <x:v>Bonus Action to use or apply</x:v>
      </x:c>
      <x:c r="P35" s="39" t="str">
        <x:v>mindfog-poison</x:v>
      </x:c>
    </x:row>
    <x:row r="36">
      <x:c r="A36" s="38" t="str">
        <x:v>Poisons</x:v>
      </x:c>
      <x:c r="B36" s="51" t="str">
        <x:v>Special Poisons</x:v>
      </x:c>
      <x:c r="C36" s="51" t="str">
        <x:v>Paralytic Venom</x:v>
      </x:c>
      <x:c r="D36" s="51" t="str">
        <x:v>Rare</x:v>
      </x:c>
      <x:c r="E36" s="51" t="n">
        <x:v>28</x:v>
      </x:c>
      <x:c r="F36" s="51" t="str">
        <x:v>Venom / Poison Plant</x:v>
      </x:c>
      <x:c r="G36" s="51" t="str">
        <x:v>Root</x:v>
      </x:c>
      <x:c r="H36" s="51" t="str">
        <x:v>Flower</x:v>
      </x:c>
      <x:c r="I36" s="51" t="str">
        <x:v>Venom / Poison Plant + Root + Flower</x:v>
      </x:c>
      <x:c r="J36" s="51" t="str"/>
      <x:c r="K36" s="51" t="str"/>
      <x:c r="L36" s="51" t="str">
        <x:v>Required</x:v>
      </x:c>
      <x:c r="M36" s="51" t="str">
        <x:v>1 minute</x:v>
      </x:c>
      <x:c r="N36" s="51" t="str">
        <x:v>The target makes a Constitution saving throw. On a failure, it is Paralyzed for 1 minute and repeats the save at the end of each turn.</x:v>
      </x:c>
      <x:c r="O36" s="51" t="str">
        <x:v>Bonus Action to use or apply</x:v>
      </x:c>
      <x:c r="P36" s="39" t="str">
        <x:v>paralytic-venom</x:v>
      </x:c>
    </x:row>
    <x:row r="37">
      <x:c r="A37" s="38" t="str">
        <x:v>Poisons</x:v>
      </x:c>
      <x:c r="B37" s="51" t="str">
        <x:v>Special Poisons</x:v>
      </x:c>
      <x:c r="C37" s="51" t="str">
        <x:v>Purple Worm Poison</x:v>
      </x:c>
      <x:c r="D37" s="51" t="str">
        <x:v>Very Rare</x:v>
      </x:c>
      <x:c r="E37" s="51" t="n">
        <x:v>34</x:v>
      </x:c>
      <x:c r="F37" s="51" t="str">
        <x:v>Venom / Poison Plant</x:v>
      </x:c>
      <x:c r="G37" s="51" t="str">
        <x:v>Root</x:v>
      </x:c>
      <x:c r="H37" s="51" t="str">
        <x:v>Sap / Resin</x:v>
      </x:c>
      <x:c r="I37" s="51" t="str">
        <x:v>Venom / Poison Plant + Root + Sap / Resin</x:v>
      </x:c>
      <x:c r="J37" s="51" t="str"/>
      <x:c r="K37" s="51" t="str"/>
      <x:c r="L37" s="51" t="str">
        <x:v>Required</x:v>
      </x:c>
      <x:c r="M37" s="51" t="str">
        <x:v>Until delivered</x:v>
      </x:c>
      <x:c r="N37" s="51" t="str">
        <x:v>A creature exposed to the poison makes a Constitution save or takes heavy poison damage.</x:v>
      </x:c>
      <x:c r="O37" s="51" t="str">
        <x:v>Bonus Action to use or apply</x:v>
      </x:c>
      <x:c r="P37" s="39" t="str">
        <x:v>purple-worm-poison</x:v>
      </x:c>
    </x:row>
    <x:row r="38">
      <x:c r="A38" s="38" t="str">
        <x:v>Poisons</x:v>
      </x:c>
      <x:c r="B38" s="51" t="str">
        <x:v>Special Poisons</x:v>
      </x:c>
      <x:c r="C38" s="51" t="str">
        <x:v>Siren's Whisper Poison</x:v>
      </x:c>
      <x:c r="D38" s="51" t="str">
        <x:v>Rare</x:v>
      </x:c>
      <x:c r="E38" s="51" t="n">
        <x:v>28</x:v>
      </x:c>
      <x:c r="F38" s="51" t="str">
        <x:v>Venom / Poison Plant</x:v>
      </x:c>
      <x:c r="G38" s="51" t="str">
        <x:v>Flower</x:v>
      </x:c>
      <x:c r="H38" s="51" t="str">
        <x:v>Sap / Resin</x:v>
      </x:c>
      <x:c r="I38" s="51" t="str">
        <x:v>Venom / Poison Plant + Flower + Sap / Resin</x:v>
      </x:c>
      <x:c r="J38" s="51" t="str"/>
      <x:c r="K38" s="51" t="str"/>
      <x:c r="L38" s="51" t="str">
        <x:v>Required</x:v>
      </x:c>
      <x:c r="M38" s="51" t="str">
        <x:v>1 minute</x:v>
      </x:c>
      <x:c r="N38" s="51" t="str">
        <x:v>The target makes a Wisdom saving throw. On a failure, it is Charmed for 1 minute. The effect ends early if the target is harmed by the charmer or the charmer's allies.</x:v>
      </x:c>
      <x:c r="O38" s="51" t="str">
        <x:v>Bonus Action to use or apply</x:v>
      </x:c>
      <x:c r="P38" s="39" t="str">
        <x:v>siren-s-whisper-poison</x:v>
      </x:c>
    </x:row>
    <x:row r="39">
      <x:c r="A39" s="38" t="str">
        <x:v>Poisons</x:v>
      </x:c>
      <x:c r="B39" s="51" t="str">
        <x:v>Special Poisons</x:v>
      </x:c>
      <x:c r="C39" s="51" t="str">
        <x:v>Stoneblood Toxin</x:v>
      </x:c>
      <x:c r="D39" s="51" t="str">
        <x:v>Very Rare</x:v>
      </x:c>
      <x:c r="E39" s="51" t="n">
        <x:v>34</x:v>
      </x:c>
      <x:c r="F39" s="51" t="str">
        <x:v>Venom / Poison Plant</x:v>
      </x:c>
      <x:c r="G39" s="51" t="str">
        <x:v>Mineral / Salt / Ash</x:v>
      </x:c>
      <x:c r="H39" s="51" t="str">
        <x:v>Root</x:v>
      </x:c>
      <x:c r="I39" s="51" t="str">
        <x:v>Venom / Poison Plant + Mineral / Salt / Ash + Root</x:v>
      </x:c>
      <x:c r="J39" s="51" t="str"/>
      <x:c r="K39" s="51" t="str"/>
      <x:c r="L39" s="51" t="str">
        <x:v>Required</x:v>
      </x:c>
      <x:c r="M39" s="51" t="str">
        <x:v>1 minute</x:v>
      </x:c>
      <x:c r="N39" s="51" t="str">
        <x:v>The target makes a Constitution saving throw. On a failure, it is Petrified for 1 minute and repeats the save at the end of each turn.</x:v>
      </x:c>
      <x:c r="O39" s="51" t="str">
        <x:v>Bonus Action to use or apply</x:v>
      </x:c>
      <x:c r="P39" s="39" t="str">
        <x:v>stoneblood-toxin</x:v>
      </x:c>
    </x:row>
    <x:row r="40">
      <x:c r="A40" s="38" t="str">
        <x:v>Bombs</x:v>
      </x:c>
      <x:c r="B40" s="51" t="str">
        <x:v>Condition Bombs</x:v>
      </x:c>
      <x:c r="C40" s="51" t="str">
        <x:v>Bomb of Blindness</x:v>
      </x:c>
      <x:c r="D40" s="51" t="str">
        <x:v>Uncommon</x:v>
      </x:c>
      <x:c r="E40" s="51" t="n">
        <x:v>22</x:v>
      </x:c>
      <x:c r="F40" s="51" t="str">
        <x:v>Mineral / Salt / Ash</x:v>
      </x:c>
      <x:c r="G40" s="51" t="str">
        <x:v>Flower</x:v>
      </x:c>
      <x:c r="H40" s="51" t="str">
        <x:v>Sap / Resin</x:v>
      </x:c>
      <x:c r="I40" s="51" t="str">
        <x:v>Mineral / Salt / Ash + Flower + Sap / Resin</x:v>
      </x:c>
      <x:c r="J40" s="51" t="str">
        <x:v>Blindness, Sight</x:v>
      </x:c>
      <x:c r="K40" s="51" t="str">
        <x:v>Blindness</x:v>
      </x:c>
      <x:c r="L40" s="51" t="str">
        <x:v>Required</x:v>
      </x:c>
      <x:c r="M40" s="51" t="str">
        <x:v>1 minute</x:v>
      </x:c>
      <x:c r="N40" s="51" t="str">
        <x:v>Creatures in a 10-foot-radius cloud make a Constitution saving throw. On a failed save, a creature is Blinded for 1 minute.</x:v>
      </x:c>
      <x:c r="O40" s="51" t="str">
        <x:v>Bonus Action to use or apply</x:v>
      </x:c>
      <x:c r="P40" s="39" t="str">
        <x:v>bomb_condition</x:v>
      </x:c>
    </x:row>
    <x:row r="41">
      <x:c r="A41" s="38" t="str">
        <x:v>Bombs</x:v>
      </x:c>
      <x:c r="B41" s="51" t="str">
        <x:v>Condition Bombs</x:v>
      </x:c>
      <x:c r="C41" s="51" t="str">
        <x:v>Bomb of Charm</x:v>
      </x:c>
      <x:c r="D41" s="51" t="str">
        <x:v>Rare</x:v>
      </x:c>
      <x:c r="E41" s="51" t="n">
        <x:v>28</x:v>
      </x:c>
      <x:c r="F41" s="51" t="str">
        <x:v>Mineral / Salt / Ash</x:v>
      </x:c>
      <x:c r="G41" s="51" t="str">
        <x:v>Flower</x:v>
      </x:c>
      <x:c r="H41" s="51" t="str">
        <x:v>Sap / Resin</x:v>
      </x:c>
      <x:c r="I41" s="51" t="str">
        <x:v>Mineral / Salt / Ash + Flower + Sap / Resin</x:v>
      </x:c>
      <x:c r="J41" s="51" t="str">
        <x:v>Charm, Mind, Psychic, Fey</x:v>
      </x:c>
      <x:c r="K41" s="51" t="str">
        <x:v>Charm</x:v>
      </x:c>
      <x:c r="L41" s="51" t="str">
        <x:v>Required</x:v>
      </x:c>
      <x:c r="M41" s="51" t="str">
        <x:v>1 minute</x:v>
      </x:c>
      <x:c r="N41" s="51" t="str">
        <x:v>Creatures in a 10-foot-radius cloud make a Wisdom saving throw. On a failed save, a creature is Charmed for 1 minute.</x:v>
      </x:c>
      <x:c r="O41" s="51" t="str">
        <x:v>Bonus Action to use or apply</x:v>
      </x:c>
      <x:c r="P41" s="39" t="str">
        <x:v>bomb_condition</x:v>
      </x:c>
    </x:row>
    <x:row r="42">
      <x:c r="A42" s="38" t="str">
        <x:v>Bombs</x:v>
      </x:c>
      <x:c r="B42" s="51" t="str">
        <x:v>Condition Bombs</x:v>
      </x:c>
      <x:c r="C42" s="51" t="str">
        <x:v>Bomb of Confusion</x:v>
      </x:c>
      <x:c r="D42" s="51" t="str">
        <x:v>Rare</x:v>
      </x:c>
      <x:c r="E42" s="51" t="n">
        <x:v>28</x:v>
      </x:c>
      <x:c r="F42" s="51" t="str">
        <x:v>Mineral / Salt / Ash</x:v>
      </x:c>
      <x:c r="G42" s="51" t="str">
        <x:v>Flower</x:v>
      </x:c>
      <x:c r="H42" s="51" t="str">
        <x:v>Sap / Resin</x:v>
      </x:c>
      <x:c r="I42" s="51" t="str">
        <x:v>Mineral / Salt / Ash + Flower + Sap / Resin</x:v>
      </x:c>
      <x:c r="J42" s="51" t="str">
        <x:v>Confusion, Mind, Psychic</x:v>
      </x:c>
      <x:c r="K42" s="51" t="str">
        <x:v>Confusion</x:v>
      </x:c>
      <x:c r="L42" s="51" t="str">
        <x:v>Required</x:v>
      </x:c>
      <x:c r="M42" s="51" t="str">
        <x:v>1 minute</x:v>
      </x:c>
      <x:c r="N42" s="51" t="str">
        <x:v>Creatures in a 10-foot-radius cloud make a Wisdom saving throw. On a failed save, a creature is Confused for 1 minute.</x:v>
      </x:c>
      <x:c r="O42" s="51" t="str">
        <x:v>Bonus Action to use or apply</x:v>
      </x:c>
      <x:c r="P42" s="39" t="str">
        <x:v>bomb_condition</x:v>
      </x:c>
    </x:row>
    <x:row r="43">
      <x:c r="A43" s="38" t="str">
        <x:v>Bombs</x:v>
      </x:c>
      <x:c r="B43" s="51" t="str">
        <x:v>Condition Bombs</x:v>
      </x:c>
      <x:c r="C43" s="51" t="str">
        <x:v>Bomb of Deafness</x:v>
      </x:c>
      <x:c r="D43" s="51" t="str">
        <x:v>Uncommon</x:v>
      </x:c>
      <x:c r="E43" s="51" t="n">
        <x:v>22</x:v>
      </x:c>
      <x:c r="F43" s="51" t="str">
        <x:v>Mineral / Salt / Ash</x:v>
      </x:c>
      <x:c r="G43" s="51" t="str">
        <x:v>Flower</x:v>
      </x:c>
      <x:c r="H43" s="51" t="str">
        <x:v>Sap / Resin</x:v>
      </x:c>
      <x:c r="I43" s="51" t="str">
        <x:v>Mineral / Salt / Ash + Flower + Sap / Resin</x:v>
      </x:c>
      <x:c r="J43" s="51" t="str">
        <x:v>Deafness, Sound, Thunder</x:v>
      </x:c>
      <x:c r="K43" s="51" t="str">
        <x:v>Deafness</x:v>
      </x:c>
      <x:c r="L43" s="51" t="str">
        <x:v>Required</x:v>
      </x:c>
      <x:c r="M43" s="51" t="str">
        <x:v>1 minute</x:v>
      </x:c>
      <x:c r="N43" s="51" t="str">
        <x:v>Creatures in a 10-foot-radius cloud make a Constitution saving throw. On a failed save, a creature is Deafened for 1 minute.</x:v>
      </x:c>
      <x:c r="O43" s="51" t="str">
        <x:v>Bonus Action to use or apply</x:v>
      </x:c>
      <x:c r="P43" s="39" t="str">
        <x:v>bomb_condition</x:v>
      </x:c>
    </x:row>
    <x:row r="44">
      <x:c r="A44" s="38" t="str">
        <x:v>Bombs</x:v>
      </x:c>
      <x:c r="B44" s="51" t="str">
        <x:v>Condition Bombs</x:v>
      </x:c>
      <x:c r="C44" s="51" t="str">
        <x:v>Bomb of Fear</x:v>
      </x:c>
      <x:c r="D44" s="51" t="str">
        <x:v>Rare</x:v>
      </x:c>
      <x:c r="E44" s="51" t="n">
        <x:v>28</x:v>
      </x:c>
      <x:c r="F44" s="51" t="str">
        <x:v>Mineral / Salt / Ash</x:v>
      </x:c>
      <x:c r="G44" s="51" t="str">
        <x:v>Flower</x:v>
      </x:c>
      <x:c r="H44" s="51" t="str">
        <x:v>Sap / Resin</x:v>
      </x:c>
      <x:c r="I44" s="51" t="str">
        <x:v>Mineral / Salt / Ash + Flower + Sap / Resin</x:v>
      </x:c>
      <x:c r="J44" s="51" t="str">
        <x:v>Fear, Mind, Psychic</x:v>
      </x:c>
      <x:c r="K44" s="51" t="str">
        <x:v>Fear</x:v>
      </x:c>
      <x:c r="L44" s="51" t="str">
        <x:v>Required</x:v>
      </x:c>
      <x:c r="M44" s="51" t="str">
        <x:v>1 minute</x:v>
      </x:c>
      <x:c r="N44" s="51" t="str">
        <x:v>Creatures in a 10-foot-radius cloud make a Wisdom saving throw. On a failed save, a creature is Frightened for 1 minute.</x:v>
      </x:c>
      <x:c r="O44" s="51" t="str">
        <x:v>Bonus Action to use or apply</x:v>
      </x:c>
      <x:c r="P44" s="39" t="str">
        <x:v>bomb_condition</x:v>
      </x:c>
    </x:row>
    <x:row r="45">
      <x:c r="A45" s="38" t="str">
        <x:v>Bombs</x:v>
      </x:c>
      <x:c r="B45" s="51" t="str">
        <x:v>Condition Bombs</x:v>
      </x:c>
      <x:c r="C45" s="51" t="str">
        <x:v>Bomb of Paralysis</x:v>
      </x:c>
      <x:c r="D45" s="51" t="str">
        <x:v>Rare</x:v>
      </x:c>
      <x:c r="E45" s="51" t="n">
        <x:v>28</x:v>
      </x:c>
      <x:c r="F45" s="51" t="str">
        <x:v>Mineral / Salt / Ash</x:v>
      </x:c>
      <x:c r="G45" s="51" t="str">
        <x:v>Flower</x:v>
      </x:c>
      <x:c r="H45" s="51" t="str">
        <x:v>Sap / Resin</x:v>
      </x:c>
      <x:c r="I45" s="51" t="str">
        <x:v>Mineral / Salt / Ash + Flower + Sap / Resin</x:v>
      </x:c>
      <x:c r="J45" s="51" t="str">
        <x:v>Paralysis, Nerve</x:v>
      </x:c>
      <x:c r="K45" s="51" t="str">
        <x:v>Paralysis</x:v>
      </x:c>
      <x:c r="L45" s="51" t="str">
        <x:v>Required</x:v>
      </x:c>
      <x:c r="M45" s="51" t="str">
        <x:v>1 minute</x:v>
      </x:c>
      <x:c r="N45" s="51" t="str">
        <x:v>Creatures in a 10-foot-radius cloud make a Constitution saving throw. On a failed save, a creature is Paralyzed for 1 minute.</x:v>
      </x:c>
      <x:c r="O45" s="51" t="str">
        <x:v>Bonus Action to use or apply</x:v>
      </x:c>
      <x:c r="P45" s="39" t="str">
        <x:v>bomb_condition</x:v>
      </x:c>
    </x:row>
    <x:row r="46">
      <x:c r="A46" s="38" t="str">
        <x:v>Bombs</x:v>
      </x:c>
      <x:c r="B46" s="51" t="str">
        <x:v>Condition Bombs</x:v>
      </x:c>
      <x:c r="C46" s="51" t="str">
        <x:v>Bomb of Petrification</x:v>
      </x:c>
      <x:c r="D46" s="51" t="str">
        <x:v>Very Rare</x:v>
      </x:c>
      <x:c r="E46" s="51" t="n">
        <x:v>34</x:v>
      </x:c>
      <x:c r="F46" s="51" t="str">
        <x:v>Mineral / Salt / Ash</x:v>
      </x:c>
      <x:c r="G46" s="51" t="str">
        <x:v>Flower</x:v>
      </x:c>
      <x:c r="H46" s="51" t="str">
        <x:v>Sap / Resin</x:v>
      </x:c>
      <x:c r="I46" s="51" t="str">
        <x:v>Mineral / Salt / Ash + Flower + Sap / Resin</x:v>
      </x:c>
      <x:c r="J46" s="51" t="str">
        <x:v>Petrification, Stone</x:v>
      </x:c>
      <x:c r="K46" s="51" t="str">
        <x:v>Petrification</x:v>
      </x:c>
      <x:c r="L46" s="51" t="str">
        <x:v>Required</x:v>
      </x:c>
      <x:c r="M46" s="51" t="str">
        <x:v>1 minute</x:v>
      </x:c>
      <x:c r="N46" s="51" t="str">
        <x:v>Creatures in a 10-foot-radius cloud make a Constitution saving throw. On a failed save, a creature is Petrified for 1 minute.</x:v>
      </x:c>
      <x:c r="O46" s="51" t="str">
        <x:v>Bonus Action to use or apply</x:v>
      </x:c>
      <x:c r="P46" s="39" t="str">
        <x:v>bomb_condition</x:v>
      </x:c>
    </x:row>
    <x:row r="47">
      <x:c r="A47" s="38" t="str">
        <x:v>Bombs</x:v>
      </x:c>
      <x:c r="B47" s="51" t="str">
        <x:v>Condition Bombs</x:v>
      </x:c>
      <x:c r="C47" s="51" t="str">
        <x:v>Bomb of Poisoning</x:v>
      </x:c>
      <x:c r="D47" s="51" t="str">
        <x:v>Uncommon</x:v>
      </x:c>
      <x:c r="E47" s="51" t="n">
        <x:v>22</x:v>
      </x:c>
      <x:c r="F47" s="51" t="str">
        <x:v>Mineral / Salt / Ash</x:v>
      </x:c>
      <x:c r="G47" s="51" t="str">
        <x:v>Flower</x:v>
      </x:c>
      <x:c r="H47" s="51" t="str">
        <x:v>Sap / Resin</x:v>
      </x:c>
      <x:c r="I47" s="51" t="str">
        <x:v>Mineral / Salt / Ash + Flower + Sap / Resin</x:v>
      </x:c>
      <x:c r="J47" s="51" t="str">
        <x:v>Poison, Venom</x:v>
      </x:c>
      <x:c r="K47" s="51" t="str">
        <x:v>Poison</x:v>
      </x:c>
      <x:c r="L47" s="51" t="str">
        <x:v>Required</x:v>
      </x:c>
      <x:c r="M47" s="51" t="str">
        <x:v>1 minute</x:v>
      </x:c>
      <x:c r="N47" s="51" t="str">
        <x:v>Creatures in a 10-foot-radius cloud make a Constitution saving throw. On a failed save, a creature is Poisoned for 1 minute.</x:v>
      </x:c>
      <x:c r="O47" s="51" t="str">
        <x:v>Bonus Action to use or apply</x:v>
      </x:c>
      <x:c r="P47" s="39" t="str">
        <x:v>bomb_condition</x:v>
      </x:c>
    </x:row>
    <x:row r="48">
      <x:c r="A48" s="38" t="str">
        <x:v>Bombs</x:v>
      </x:c>
      <x:c r="B48" s="51" t="str">
        <x:v>Condition Bombs</x:v>
      </x:c>
      <x:c r="C48" s="51" t="str">
        <x:v>Bomb of Restraint</x:v>
      </x:c>
      <x:c r="D48" s="51" t="str">
        <x:v>Rare</x:v>
      </x:c>
      <x:c r="E48" s="51" t="n">
        <x:v>28</x:v>
      </x:c>
      <x:c r="F48" s="51" t="str">
        <x:v>Mineral / Salt / Ash</x:v>
      </x:c>
      <x:c r="G48" s="51" t="str">
        <x:v>Flower</x:v>
      </x:c>
      <x:c r="H48" s="51" t="str">
        <x:v>Sap / Resin</x:v>
      </x:c>
      <x:c r="I48" s="51" t="str">
        <x:v>Mineral / Salt / Ash + Flower + Sap / Resin</x:v>
      </x:c>
      <x:c r="J48" s="51" t="str">
        <x:v>Restraint, Binding</x:v>
      </x:c>
      <x:c r="K48" s="51" t="str">
        <x:v>Restraint</x:v>
      </x:c>
      <x:c r="L48" s="51" t="str">
        <x:v>Required</x:v>
      </x:c>
      <x:c r="M48" s="51" t="str">
        <x:v>1 minute</x:v>
      </x:c>
      <x:c r="N48" s="51" t="str">
        <x:v>Creatures in a 10-foot-radius cloud make a Dexterity saving throw. On a failed save, a creature is Restrained for 1 minute.</x:v>
      </x:c>
      <x:c r="O48" s="51" t="str">
        <x:v>Bonus Action to use or apply</x:v>
      </x:c>
      <x:c r="P48" s="39" t="str">
        <x:v>bomb_condition</x:v>
      </x:c>
    </x:row>
    <x:row r="49">
      <x:c r="A49" s="38" t="str">
        <x:v>Bombs</x:v>
      </x:c>
      <x:c r="B49" s="51" t="str">
        <x:v>Condition Bombs</x:v>
      </x:c>
      <x:c r="C49" s="51" t="str">
        <x:v>Bomb of Stunning</x:v>
      </x:c>
      <x:c r="D49" s="51" t="str">
        <x:v>Rare</x:v>
      </x:c>
      <x:c r="E49" s="51" t="n">
        <x:v>28</x:v>
      </x:c>
      <x:c r="F49" s="51" t="str">
        <x:v>Mineral / Salt / Ash</x:v>
      </x:c>
      <x:c r="G49" s="51" t="str">
        <x:v>Flower</x:v>
      </x:c>
      <x:c r="H49" s="51" t="str">
        <x:v>Sap / Resin</x:v>
      </x:c>
      <x:c r="I49" s="51" t="str">
        <x:v>Mineral / Salt / Ash + Flower + Sap / Resin</x:v>
      </x:c>
      <x:c r="J49" s="51" t="str">
        <x:v>Stunning, Nerve, Lightning, Thunder</x:v>
      </x:c>
      <x:c r="K49" s="51" t="str">
        <x:v>Stunning</x:v>
      </x:c>
      <x:c r="L49" s="51" t="str">
        <x:v>Required</x:v>
      </x:c>
      <x:c r="M49" s="51" t="str">
        <x:v>Until the end of the target's next turn</x:v>
      </x:c>
      <x:c r="N49" s="51" t="str">
        <x:v>Creatures in a 10-foot-radius cloud make a Constitution saving throw. On a failed save, a creature is Stunned for Until the end of the target's next turn.</x:v>
      </x:c>
      <x:c r="O49" s="51" t="str">
        <x:v>Bonus Action to use or apply</x:v>
      </x:c>
      <x:c r="P49" s="39" t="str">
        <x:v>bomb_condition</x:v>
      </x:c>
    </x:row>
    <x:row r="50">
      <x:c r="A50" s="38" t="str">
        <x:v>Bombs</x:v>
      </x:c>
      <x:c r="B50" s="51" t="str">
        <x:v>Elemental Bombs</x:v>
      </x:c>
      <x:c r="C50" s="51" t="str">
        <x:v>Bomb of Acid</x:v>
      </x:c>
      <x:c r="D50" s="51" t="str">
        <x:v>Uncommon</x:v>
      </x:c>
      <x:c r="E50" s="51" t="n">
        <x:v>22</x:v>
      </x:c>
      <x:c r="F50" s="51" t="str">
        <x:v>Mineral / Salt / Ash</x:v>
      </x:c>
      <x:c r="G50" s="51" t="str">
        <x:v>Sap / Resin</x:v>
      </x:c>
      <x:c r="H50" s="51" t="str">
        <x:v>Thorn / Bark / Wood</x:v>
      </x:c>
      <x:c r="I50" s="51" t="str">
        <x:v>Mineral / Salt / Ash + Sap / Resin + Thorn / Bark / Wood</x:v>
      </x:c>
      <x:c r="J50" s="51" t="str">
        <x:v>Acid</x:v>
      </x:c>
      <x:c r="K50" s="51" t="str">
        <x:v>Acid</x:v>
      </x:c>
      <x:c r="L50" s="51" t="str">
        <x:v>Required</x:v>
      </x:c>
      <x:c r="M50" s="51" t="str">
        <x:v>Instant</x:v>
      </x:c>
      <x:c r="N50" s="51" t="str">
        <x:v>Creatures in a 10-foot-radius burst make a Dexterity saving throw, taking 2d6 acid damage on a failed save or half as much on a success.</x:v>
      </x:c>
      <x:c r="O50" s="51" t="str">
        <x:v>Bonus Action to use or apply</x:v>
      </x:c>
      <x:c r="P50" s="39" t="str">
        <x:v>bomb_elemental</x:v>
      </x:c>
    </x:row>
    <x:row r="51">
      <x:c r="A51" s="38" t="str">
        <x:v>Bombs</x:v>
      </x:c>
      <x:c r="B51" s="51" t="str">
        <x:v>Elemental Bombs</x:v>
      </x:c>
      <x:c r="C51" s="51" t="str">
        <x:v>Bomb of Cold</x:v>
      </x:c>
      <x:c r="D51" s="51" t="str">
        <x:v>Uncommon</x:v>
      </x:c>
      <x:c r="E51" s="51" t="n">
        <x:v>22</x:v>
      </x:c>
      <x:c r="F51" s="51" t="str">
        <x:v>Mineral / Salt / Ash</x:v>
      </x:c>
      <x:c r="G51" s="51" t="str">
        <x:v>Sap / Resin</x:v>
      </x:c>
      <x:c r="H51" s="51" t="str">
        <x:v>Thorn / Bark / Wood</x:v>
      </x:c>
      <x:c r="I51" s="51" t="str">
        <x:v>Mineral / Salt / Ash + Sap / Resin + Thorn / Bark / Wood</x:v>
      </x:c>
      <x:c r="J51" s="51" t="str">
        <x:v>Cold</x:v>
      </x:c>
      <x:c r="K51" s="51" t="str">
        <x:v>Cold</x:v>
      </x:c>
      <x:c r="L51" s="51" t="str">
        <x:v>Required</x:v>
      </x:c>
      <x:c r="M51" s="51" t="str">
        <x:v>Instant</x:v>
      </x:c>
      <x:c r="N51" s="51" t="str">
        <x:v>Creatures in a 10-foot-radius burst make a Dexterity saving throw, taking 2d6 cold damage on a failed save or half as much on a success.</x:v>
      </x:c>
      <x:c r="O51" s="51" t="str">
        <x:v>Bonus Action to use or apply</x:v>
      </x:c>
      <x:c r="P51" s="39" t="str">
        <x:v>bomb_elemental</x:v>
      </x:c>
    </x:row>
    <x:row r="52">
      <x:c r="A52" s="38" t="str">
        <x:v>Bombs</x:v>
      </x:c>
      <x:c r="B52" s="51" t="str">
        <x:v>Elemental Bombs</x:v>
      </x:c>
      <x:c r="C52" s="51" t="str">
        <x:v>Bomb of Fire</x:v>
      </x:c>
      <x:c r="D52" s="51" t="str">
        <x:v>Uncommon</x:v>
      </x:c>
      <x:c r="E52" s="51" t="n">
        <x:v>22</x:v>
      </x:c>
      <x:c r="F52" s="51" t="str">
        <x:v>Mineral / Salt / Ash</x:v>
      </x:c>
      <x:c r="G52" s="51" t="str">
        <x:v>Sap / Resin</x:v>
      </x:c>
      <x:c r="H52" s="51" t="str">
        <x:v>Thorn / Bark / Wood</x:v>
      </x:c>
      <x:c r="I52" s="51" t="str">
        <x:v>Mineral / Salt / Ash + Sap / Resin + Thorn / Bark / Wood</x:v>
      </x:c>
      <x:c r="J52" s="51" t="str">
        <x:v>Fire</x:v>
      </x:c>
      <x:c r="K52" s="51" t="str">
        <x:v>Fire</x:v>
      </x:c>
      <x:c r="L52" s="51" t="str">
        <x:v>Required</x:v>
      </x:c>
      <x:c r="M52" s="51" t="str">
        <x:v>Instant</x:v>
      </x:c>
      <x:c r="N52" s="51" t="str">
        <x:v>Creatures in a 10-foot-radius burst make a Dexterity saving throw, taking 2d6 fire damage on a failed save or half as much on a success.</x:v>
      </x:c>
      <x:c r="O52" s="51" t="str">
        <x:v>Bonus Action to use or apply</x:v>
      </x:c>
      <x:c r="P52" s="39" t="str">
        <x:v>bomb_elemental</x:v>
      </x:c>
    </x:row>
    <x:row r="53">
      <x:c r="A53" s="38" t="str">
        <x:v>Bombs</x:v>
      </x:c>
      <x:c r="B53" s="51" t="str">
        <x:v>Elemental Bombs</x:v>
      </x:c>
      <x:c r="C53" s="51" t="str">
        <x:v>Bomb of Force</x:v>
      </x:c>
      <x:c r="D53" s="51" t="str">
        <x:v>Rare</x:v>
      </x:c>
      <x:c r="E53" s="51" t="n">
        <x:v>28</x:v>
      </x:c>
      <x:c r="F53" s="51" t="str">
        <x:v>Mineral / Salt / Ash</x:v>
      </x:c>
      <x:c r="G53" s="51" t="str">
        <x:v>Sap / Resin</x:v>
      </x:c>
      <x:c r="H53" s="51" t="str">
        <x:v>Thorn / Bark / Wood</x:v>
      </x:c>
      <x:c r="I53" s="51" t="str">
        <x:v>Mineral / Salt / Ash + Sap / Resin + Thorn / Bark / Wood</x:v>
      </x:c>
      <x:c r="J53" s="51" t="str">
        <x:v>Force</x:v>
      </x:c>
      <x:c r="K53" s="51" t="str">
        <x:v>Force</x:v>
      </x:c>
      <x:c r="L53" s="51" t="str">
        <x:v>Required</x:v>
      </x:c>
      <x:c r="M53" s="51" t="str">
        <x:v>Instant</x:v>
      </x:c>
      <x:c r="N53" s="51" t="str">
        <x:v>Creatures in a 10-foot-radius burst make a Dexterity saving throw, taking 3d6 force damage on a failed save or half as much on a success.</x:v>
      </x:c>
      <x:c r="O53" s="51" t="str">
        <x:v>Bonus Action to use or apply</x:v>
      </x:c>
      <x:c r="P53" s="39" t="str">
        <x:v>bomb_elemental</x:v>
      </x:c>
    </x:row>
    <x:row r="54">
      <x:c r="A54" s="38" t="str">
        <x:v>Bombs</x:v>
      </x:c>
      <x:c r="B54" s="51" t="str">
        <x:v>Elemental Bombs</x:v>
      </x:c>
      <x:c r="C54" s="51" t="str">
        <x:v>Bomb of Lightning</x:v>
      </x:c>
      <x:c r="D54" s="51" t="str">
        <x:v>Uncommon</x:v>
      </x:c>
      <x:c r="E54" s="51" t="n">
        <x:v>22</x:v>
      </x:c>
      <x:c r="F54" s="51" t="str">
        <x:v>Mineral / Salt / Ash</x:v>
      </x:c>
      <x:c r="G54" s="51" t="str">
        <x:v>Sap / Resin</x:v>
      </x:c>
      <x:c r="H54" s="51" t="str">
        <x:v>Thorn / Bark / Wood</x:v>
      </x:c>
      <x:c r="I54" s="51" t="str">
        <x:v>Mineral / Salt / Ash + Sap / Resin + Thorn / Bark / Wood</x:v>
      </x:c>
      <x:c r="J54" s="51" t="str">
        <x:v>Lightning</x:v>
      </x:c>
      <x:c r="K54" s="51" t="str">
        <x:v>Lightning</x:v>
      </x:c>
      <x:c r="L54" s="51" t="str">
        <x:v>Required</x:v>
      </x:c>
      <x:c r="M54" s="51" t="str">
        <x:v>Instant</x:v>
      </x:c>
      <x:c r="N54" s="51" t="str">
        <x:v>Creatures in a 10-foot-radius burst make a Dexterity saving throw, taking 2d6 lightning damage on a failed save or half as much on a success.</x:v>
      </x:c>
      <x:c r="O54" s="51" t="str">
        <x:v>Bonus Action to use or apply</x:v>
      </x:c>
      <x:c r="P54" s="39" t="str">
        <x:v>bomb_elemental</x:v>
      </x:c>
    </x:row>
    <x:row r="55">
      <x:c r="A55" s="38" t="str">
        <x:v>Bombs</x:v>
      </x:c>
      <x:c r="B55" s="51" t="str">
        <x:v>Elemental Bombs</x:v>
      </x:c>
      <x:c r="C55" s="51" t="str">
        <x:v>Bomb of Necrotic</x:v>
      </x:c>
      <x:c r="D55" s="51" t="str">
        <x:v>Rare</x:v>
      </x:c>
      <x:c r="E55" s="51" t="n">
        <x:v>28</x:v>
      </x:c>
      <x:c r="F55" s="51" t="str">
        <x:v>Mineral / Salt / Ash</x:v>
      </x:c>
      <x:c r="G55" s="51" t="str">
        <x:v>Sap / Resin</x:v>
      </x:c>
      <x:c r="H55" s="51" t="str">
        <x:v>Thorn / Bark / Wood</x:v>
      </x:c>
      <x:c r="I55" s="51" t="str">
        <x:v>Mineral / Salt / Ash + Sap / Resin + Thorn / Bark / Wood</x:v>
      </x:c>
      <x:c r="J55" s="51" t="str">
        <x:v>Necrotic</x:v>
      </x:c>
      <x:c r="K55" s="51" t="str">
        <x:v>Necrotic</x:v>
      </x:c>
      <x:c r="L55" s="51" t="str">
        <x:v>Required</x:v>
      </x:c>
      <x:c r="M55" s="51" t="str">
        <x:v>Instant</x:v>
      </x:c>
      <x:c r="N55" s="51" t="str">
        <x:v>Creatures in a 10-foot-radius burst make a Constitution saving throw, taking 3d6 necrotic damage on a failed save or half as much on a success.</x:v>
      </x:c>
      <x:c r="O55" s="51" t="str">
        <x:v>Bonus Action to use or apply</x:v>
      </x:c>
      <x:c r="P55" s="39" t="str">
        <x:v>bomb_elemental</x:v>
      </x:c>
    </x:row>
    <x:row r="56">
      <x:c r="A56" s="38" t="str">
        <x:v>Bombs</x:v>
      </x:c>
      <x:c r="B56" s="51" t="str">
        <x:v>Elemental Bombs</x:v>
      </x:c>
      <x:c r="C56" s="51" t="str">
        <x:v>Bomb of Poison</x:v>
      </x:c>
      <x:c r="D56" s="51" t="str">
        <x:v>Uncommon</x:v>
      </x:c>
      <x:c r="E56" s="51" t="n">
        <x:v>22</x:v>
      </x:c>
      <x:c r="F56" s="51" t="str">
        <x:v>Mineral / Salt / Ash</x:v>
      </x:c>
      <x:c r="G56" s="51" t="str">
        <x:v>Sap / Resin</x:v>
      </x:c>
      <x:c r="H56" s="51" t="str">
        <x:v>Thorn / Bark / Wood</x:v>
      </x:c>
      <x:c r="I56" s="51" t="str">
        <x:v>Mineral / Salt / Ash + Sap / Resin + Thorn / Bark / Wood</x:v>
      </x:c>
      <x:c r="J56" s="51" t="str">
        <x:v>Poison</x:v>
      </x:c>
      <x:c r="K56" s="51" t="str">
        <x:v>Poison</x:v>
      </x:c>
      <x:c r="L56" s="51" t="str">
        <x:v>Required</x:v>
      </x:c>
      <x:c r="M56" s="51" t="str">
        <x:v>Instant</x:v>
      </x:c>
      <x:c r="N56" s="51" t="str">
        <x:v>Creatures in a 10-foot-radius burst make a Constitution saving throw, taking 2d6 poison damage on a failed save or half as much on a success.</x:v>
      </x:c>
      <x:c r="O56" s="51" t="str">
        <x:v>Bonus Action to use or apply</x:v>
      </x:c>
      <x:c r="P56" s="39" t="str">
        <x:v>bomb_elemental</x:v>
      </x:c>
    </x:row>
    <x:row r="57">
      <x:c r="A57" s="38" t="str">
        <x:v>Bombs</x:v>
      </x:c>
      <x:c r="B57" s="51" t="str">
        <x:v>Elemental Bombs</x:v>
      </x:c>
      <x:c r="C57" s="51" t="str">
        <x:v>Bomb of Psychic</x:v>
      </x:c>
      <x:c r="D57" s="51" t="str">
        <x:v>Rare</x:v>
      </x:c>
      <x:c r="E57" s="51" t="n">
        <x:v>28</x:v>
      </x:c>
      <x:c r="F57" s="51" t="str">
        <x:v>Mineral / Salt / Ash</x:v>
      </x:c>
      <x:c r="G57" s="51" t="str">
        <x:v>Sap / Resin</x:v>
      </x:c>
      <x:c r="H57" s="51" t="str">
        <x:v>Thorn / Bark / Wood</x:v>
      </x:c>
      <x:c r="I57" s="51" t="str">
        <x:v>Mineral / Salt / Ash + Sap / Resin + Thorn / Bark / Wood</x:v>
      </x:c>
      <x:c r="J57" s="51" t="str">
        <x:v>Psychic</x:v>
      </x:c>
      <x:c r="K57" s="51" t="str">
        <x:v>Psychic</x:v>
      </x:c>
      <x:c r="L57" s="51" t="str">
        <x:v>Required</x:v>
      </x:c>
      <x:c r="M57" s="51" t="str">
        <x:v>Instant</x:v>
      </x:c>
      <x:c r="N57" s="51" t="str">
        <x:v>Creatures in a 10-foot-radius burst make a Wisdom saving throw, taking 3d6 psychic damage on a failed save or half as much on a success.</x:v>
      </x:c>
      <x:c r="O57" s="51" t="str">
        <x:v>Bonus Action to use or apply</x:v>
      </x:c>
      <x:c r="P57" s="39" t="str">
        <x:v>bomb_elemental</x:v>
      </x:c>
    </x:row>
    <x:row r="58">
      <x:c r="A58" s="38" t="str">
        <x:v>Bombs</x:v>
      </x:c>
      <x:c r="B58" s="51" t="str">
        <x:v>Elemental Bombs</x:v>
      </x:c>
      <x:c r="C58" s="51" t="str">
        <x:v>Bomb of Radiant</x:v>
      </x:c>
      <x:c r="D58" s="51" t="str">
        <x:v>Rare</x:v>
      </x:c>
      <x:c r="E58" s="51" t="n">
        <x:v>28</x:v>
      </x:c>
      <x:c r="F58" s="51" t="str">
        <x:v>Mineral / Salt / Ash</x:v>
      </x:c>
      <x:c r="G58" s="51" t="str">
        <x:v>Sap / Resin</x:v>
      </x:c>
      <x:c r="H58" s="51" t="str">
        <x:v>Thorn / Bark / Wood</x:v>
      </x:c>
      <x:c r="I58" s="51" t="str">
        <x:v>Mineral / Salt / Ash + Sap / Resin + Thorn / Bark / Wood</x:v>
      </x:c>
      <x:c r="J58" s="51" t="str">
        <x:v>Radiant</x:v>
      </x:c>
      <x:c r="K58" s="51" t="str">
        <x:v>Radiant</x:v>
      </x:c>
      <x:c r="L58" s="51" t="str">
        <x:v>Required</x:v>
      </x:c>
      <x:c r="M58" s="51" t="str">
        <x:v>Instant</x:v>
      </x:c>
      <x:c r="N58" s="51" t="str">
        <x:v>Creatures in a 10-foot-radius burst make a Dexterity saving throw, taking 3d6 radiant damage on a failed save or half as much on a success.</x:v>
      </x:c>
      <x:c r="O58" s="51" t="str">
        <x:v>Bonus Action to use or apply</x:v>
      </x:c>
      <x:c r="P58" s="39" t="str">
        <x:v>bomb_elemental</x:v>
      </x:c>
    </x:row>
    <x:row r="59">
      <x:c r="A59" s="38" t="str">
        <x:v>Bombs</x:v>
      </x:c>
      <x:c r="B59" s="51" t="str">
        <x:v>Elemental Bombs</x:v>
      </x:c>
      <x:c r="C59" s="51" t="str">
        <x:v>Bomb of Thunder</x:v>
      </x:c>
      <x:c r="D59" s="51" t="str">
        <x:v>Uncommon</x:v>
      </x:c>
      <x:c r="E59" s="51" t="n">
        <x:v>22</x:v>
      </x:c>
      <x:c r="F59" s="51" t="str">
        <x:v>Mineral / Salt / Ash</x:v>
      </x:c>
      <x:c r="G59" s="51" t="str">
        <x:v>Sap / Resin</x:v>
      </x:c>
      <x:c r="H59" s="51" t="str">
        <x:v>Thorn / Bark / Wood</x:v>
      </x:c>
      <x:c r="I59" s="51" t="str">
        <x:v>Mineral / Salt / Ash + Sap / Resin + Thorn / Bark / Wood</x:v>
      </x:c>
      <x:c r="J59" s="51" t="str">
        <x:v>Thunder</x:v>
      </x:c>
      <x:c r="K59" s="51" t="str">
        <x:v>Thunder</x:v>
      </x:c>
      <x:c r="L59" s="51" t="str">
        <x:v>Required</x:v>
      </x:c>
      <x:c r="M59" s="51" t="str">
        <x:v>Instant</x:v>
      </x:c>
      <x:c r="N59" s="51" t="str">
        <x:v>Creatures in a 10-foot-radius burst make a Constitution saving throw, taking 2d6 thunder damage on a failed save or half as much on a success.</x:v>
      </x:c>
      <x:c r="O59" s="51" t="str">
        <x:v>Bonus Action to use or apply</x:v>
      </x:c>
      <x:c r="P59" s="39" t="str">
        <x:v>bomb_elemental</x:v>
      </x:c>
    </x:row>
    <x:row r="60">
      <x:c r="A60" s="38" t="str">
        <x:v>Elixirs</x:v>
      </x:c>
      <x:c r="B60" s="51" t="str">
        <x:v>Ability Elixirs</x:v>
      </x:c>
      <x:c r="C60" s="51" t="str">
        <x:v>Elixir of Charisma</x:v>
      </x:c>
      <x:c r="D60" s="51" t="str">
        <x:v>Uncommon</x:v>
      </x:c>
      <x:c r="E60" s="51" t="n">
        <x:v>22</x:v>
      </x:c>
      <x:c r="F60" s="51" t="str">
        <x:v>Flower</x:v>
      </x:c>
      <x:c r="G60" s="51" t="str">
        <x:v>Sap / Resin</x:v>
      </x:c>
      <x:c r="H60" s="51" t="str">
        <x:v>Mineral / Salt / Ash</x:v>
      </x:c>
      <x:c r="I60" s="51" t="str">
        <x:v>Flower + Sap / Resin + Mineral / Salt / Ash</x:v>
      </x:c>
      <x:c r="J60" s="51" t="str"/>
      <x:c r="K60" s="51" t="str"/>
      <x:c r="L60" s="51" t="str">
        <x:v>Optional</x:v>
      </x:c>
      <x:c r="M60" s="51" t="str">
        <x:v>1 hour</x:v>
      </x:c>
      <x:c r="N60" s="51" t="str">
        <x:v>Charisma increases by 1d4 for the duration.</x:v>
      </x:c>
      <x:c r="O60" s="51" t="str">
        <x:v>Bonus Action to use or apply</x:v>
      </x:c>
      <x:c r="P60" s="39" t="str">
        <x:v>elixir-of-charisma</x:v>
      </x:c>
    </x:row>
    <x:row r="61">
      <x:c r="A61" s="38" t="str">
        <x:v>Elixirs</x:v>
      </x:c>
      <x:c r="B61" s="51" t="str">
        <x:v>Ability Elixirs</x:v>
      </x:c>
      <x:c r="C61" s="51" t="str">
        <x:v>Elixir of Constitution</x:v>
      </x:c>
      <x:c r="D61" s="51" t="str">
        <x:v>Uncommon</x:v>
      </x:c>
      <x:c r="E61" s="51" t="n">
        <x:v>22</x:v>
      </x:c>
      <x:c r="F61" s="51" t="str">
        <x:v>Root</x:v>
      </x:c>
      <x:c r="G61" s="51" t="str">
        <x:v>Mushroom</x:v>
      </x:c>
      <x:c r="H61" s="51" t="str">
        <x:v>Moss / Lichen</x:v>
      </x:c>
      <x:c r="I61" s="51" t="str">
        <x:v>Root + Mushroom + Moss / Lichen</x:v>
      </x:c>
      <x:c r="J61" s="51" t="str"/>
      <x:c r="K61" s="51" t="str"/>
      <x:c r="L61" s="51" t="str">
        <x:v>Optional</x:v>
      </x:c>
      <x:c r="M61" s="51" t="str">
        <x:v>1 hour</x:v>
      </x:c>
      <x:c r="N61" s="51" t="str">
        <x:v>Constitution increases by 1d4 for the duration.</x:v>
      </x:c>
      <x:c r="O61" s="51" t="str">
        <x:v>Bonus Action to use or apply</x:v>
      </x:c>
      <x:c r="P61" s="39" t="str">
        <x:v>elixir-of-constitution</x:v>
      </x:c>
    </x:row>
    <x:row r="62">
      <x:c r="A62" s="38" t="str">
        <x:v>Elixirs</x:v>
      </x:c>
      <x:c r="B62" s="51" t="str">
        <x:v>Ability Elixirs</x:v>
      </x:c>
      <x:c r="C62" s="51" t="str">
        <x:v>Elixir of Dexterity</x:v>
      </x:c>
      <x:c r="D62" s="51" t="str">
        <x:v>Uncommon</x:v>
      </x:c>
      <x:c r="E62" s="51" t="n">
        <x:v>22</x:v>
      </x:c>
      <x:c r="F62" s="51" t="str">
        <x:v>Leaf / Vine</x:v>
      </x:c>
      <x:c r="G62" s="51" t="str">
        <x:v>Flower</x:v>
      </x:c>
      <x:c r="H62" s="51" t="str">
        <x:v>Sap / Resin</x:v>
      </x:c>
      <x:c r="I62" s="51" t="str">
        <x:v>Leaf / Vine + Flower + Sap / Resin</x:v>
      </x:c>
      <x:c r="J62" s="51" t="str"/>
      <x:c r="K62" s="51" t="str"/>
      <x:c r="L62" s="51" t="str">
        <x:v>Optional</x:v>
      </x:c>
      <x:c r="M62" s="51" t="str">
        <x:v>1 hour</x:v>
      </x:c>
      <x:c r="N62" s="51" t="str">
        <x:v>Dexterity increases by 1d4 for the duration.</x:v>
      </x:c>
      <x:c r="O62" s="51" t="str">
        <x:v>Bonus Action to use or apply</x:v>
      </x:c>
      <x:c r="P62" s="39" t="str">
        <x:v>elixir-of-dexterity</x:v>
      </x:c>
    </x:row>
    <x:row r="63">
      <x:c r="A63" s="38" t="str">
        <x:v>Elixirs</x:v>
      </x:c>
      <x:c r="B63" s="51" t="str">
        <x:v>Ability Elixirs</x:v>
      </x:c>
      <x:c r="C63" s="51" t="str">
        <x:v>Elixir of Intelligence</x:v>
      </x:c>
      <x:c r="D63" s="51" t="str">
        <x:v>Uncommon</x:v>
      </x:c>
      <x:c r="E63" s="51" t="n">
        <x:v>22</x:v>
      </x:c>
      <x:c r="F63" s="51" t="str">
        <x:v>Flower</x:v>
      </x:c>
      <x:c r="G63" s="51" t="str">
        <x:v>Mineral / Salt / Ash</x:v>
      </x:c>
      <x:c r="H63" s="51" t="str">
        <x:v>Root</x:v>
      </x:c>
      <x:c r="I63" s="51" t="str">
        <x:v>Flower + Mineral / Salt / Ash + Root</x:v>
      </x:c>
      <x:c r="J63" s="51" t="str"/>
      <x:c r="K63" s="51" t="str"/>
      <x:c r="L63" s="51" t="str">
        <x:v>Optional</x:v>
      </x:c>
      <x:c r="M63" s="51" t="str">
        <x:v>1 hour</x:v>
      </x:c>
      <x:c r="N63" s="51" t="str">
        <x:v>Intelligence increases by 1d4 for the duration.</x:v>
      </x:c>
      <x:c r="O63" s="51" t="str">
        <x:v>Bonus Action to use or apply</x:v>
      </x:c>
      <x:c r="P63" s="39" t="str">
        <x:v>elixir-of-intelligence</x:v>
      </x:c>
    </x:row>
    <x:row r="64">
      <x:c r="A64" s="38" t="str">
        <x:v>Elixirs</x:v>
      </x:c>
      <x:c r="B64" s="51" t="str">
        <x:v>Ability Elixirs</x:v>
      </x:c>
      <x:c r="C64" s="51" t="str">
        <x:v>Elixir of Strength</x:v>
      </x:c>
      <x:c r="D64" s="51" t="str">
        <x:v>Uncommon</x:v>
      </x:c>
      <x:c r="E64" s="51" t="n">
        <x:v>22</x:v>
      </x:c>
      <x:c r="F64" s="51" t="str">
        <x:v>Root</x:v>
      </x:c>
      <x:c r="G64" s="51" t="str">
        <x:v>Thorn / Bark / Wood</x:v>
      </x:c>
      <x:c r="H64" s="51" t="str">
        <x:v>Mushroom</x:v>
      </x:c>
      <x:c r="I64" s="51" t="str">
        <x:v>Root + Thorn / Bark / Wood + Mushroom</x:v>
      </x:c>
      <x:c r="J64" s="51" t="str"/>
      <x:c r="K64" s="51" t="str"/>
      <x:c r="L64" s="51" t="str">
        <x:v>Optional</x:v>
      </x:c>
      <x:c r="M64" s="51" t="str">
        <x:v>1 hour</x:v>
      </x:c>
      <x:c r="N64" s="51" t="str">
        <x:v>Strength increases by 1d4 for the duration.</x:v>
      </x:c>
      <x:c r="O64" s="51" t="str">
        <x:v>Bonus Action to use or apply</x:v>
      </x:c>
      <x:c r="P64" s="39" t="str">
        <x:v>elixir-of-strength</x:v>
      </x:c>
    </x:row>
    <x:row r="65">
      <x:c r="A65" s="38" t="str">
        <x:v>Elixirs</x:v>
      </x:c>
      <x:c r="B65" s="51" t="str">
        <x:v>Ability Elixirs</x:v>
      </x:c>
      <x:c r="C65" s="51" t="str">
        <x:v>Elixir of Wisdom</x:v>
      </x:c>
      <x:c r="D65" s="51" t="str">
        <x:v>Uncommon</x:v>
      </x:c>
      <x:c r="E65" s="51" t="n">
        <x:v>22</x:v>
      </x:c>
      <x:c r="F65" s="51" t="str">
        <x:v>Moss / Lichen</x:v>
      </x:c>
      <x:c r="G65" s="51" t="str">
        <x:v>Flower</x:v>
      </x:c>
      <x:c r="H65" s="51" t="str">
        <x:v>Root</x:v>
      </x:c>
      <x:c r="I65" s="51" t="str">
        <x:v>Moss / Lichen + Flower + Root</x:v>
      </x:c>
      <x:c r="J65" s="51" t="str"/>
      <x:c r="K65" s="51" t="str"/>
      <x:c r="L65" s="51" t="str">
        <x:v>Optional</x:v>
      </x:c>
      <x:c r="M65" s="51" t="str">
        <x:v>1 hour</x:v>
      </x:c>
      <x:c r="N65" s="51" t="str">
        <x:v>Wisdom increases by 1d4 for the duration.</x:v>
      </x:c>
      <x:c r="O65" s="51" t="str">
        <x:v>Bonus Action to use or apply</x:v>
      </x:c>
      <x:c r="P65" s="39" t="str">
        <x:v>elixir-of-wisdom</x:v>
      </x:c>
    </x:row>
    <x:row r="66">
      <x:c r="A66" s="38" t="str">
        <x:v>Elixirs</x:v>
      </x:c>
      <x:c r="B66" s="51" t="str">
        <x:v>Immunity Elixirs</x:v>
      </x:c>
      <x:c r="C66" s="51" t="str">
        <x:v>Elixir of Blindness Immunity</x:v>
      </x:c>
      <x:c r="D66" s="51" t="str">
        <x:v>Uncommon</x:v>
      </x:c>
      <x:c r="E66" s="51" t="n">
        <x:v>22</x:v>
      </x:c>
      <x:c r="F66" s="51" t="str">
        <x:v>Root</x:v>
      </x:c>
      <x:c r="G66" s="51" t="str">
        <x:v>Flower</x:v>
      </x:c>
      <x:c r="H66" s="51" t="str">
        <x:v>Mineral / Salt / Ash</x:v>
      </x:c>
      <x:c r="I66" s="51" t="str">
        <x:v>Root + Flower + Mineral / Salt / Ash</x:v>
      </x:c>
      <x:c r="J66" s="51" t="str">
        <x:v>Blindness, Sight</x:v>
      </x:c>
      <x:c r="K66" s="51" t="str">
        <x:v>Blindness</x:v>
      </x:c>
      <x:c r="L66" s="51" t="str">
        <x:v>Required</x:v>
      </x:c>
      <x:c r="M66" s="51" t="str">
        <x:v>1 hour</x:v>
      </x:c>
      <x:c r="N66" s="51" t="str">
        <x:v>Immediately ends the Blinded condition if present and grants immunity to Blinded for 1 hour.</x:v>
      </x:c>
      <x:c r="O66" s="51" t="str">
        <x:v>Bonus Action to use or apply</x:v>
      </x:c>
      <x:c r="P66" s="39" t="str">
        <x:v>elixir_condition_immunity</x:v>
      </x:c>
    </x:row>
    <x:row r="67">
      <x:c r="A67" s="38" t="str">
        <x:v>Elixirs</x:v>
      </x:c>
      <x:c r="B67" s="51" t="str">
        <x:v>Immunity Elixirs</x:v>
      </x:c>
      <x:c r="C67" s="51" t="str">
        <x:v>Elixir of Charm Immunity</x:v>
      </x:c>
      <x:c r="D67" s="51" t="str">
        <x:v>Rare</x:v>
      </x:c>
      <x:c r="E67" s="51" t="n">
        <x:v>28</x:v>
      </x:c>
      <x:c r="F67" s="51" t="str">
        <x:v>Root</x:v>
      </x:c>
      <x:c r="G67" s="51" t="str">
        <x:v>Flower</x:v>
      </x:c>
      <x:c r="H67" s="51" t="str">
        <x:v>Mineral / Salt / Ash</x:v>
      </x:c>
      <x:c r="I67" s="51" t="str">
        <x:v>Root + Flower + Mineral / Salt / Ash</x:v>
      </x:c>
      <x:c r="J67" s="51" t="str">
        <x:v>Charm, Mind, Psychic, Fey</x:v>
      </x:c>
      <x:c r="K67" s="51" t="str">
        <x:v>Charm</x:v>
      </x:c>
      <x:c r="L67" s="51" t="str">
        <x:v>Required</x:v>
      </x:c>
      <x:c r="M67" s="51" t="str">
        <x:v>1 hour</x:v>
      </x:c>
      <x:c r="N67" s="51" t="str">
        <x:v>Immediately ends the Charmed condition if present and grants immunity to Charmed for 1 hour.</x:v>
      </x:c>
      <x:c r="O67" s="51" t="str">
        <x:v>Bonus Action to use or apply</x:v>
      </x:c>
      <x:c r="P67" s="39" t="str">
        <x:v>elixir_condition_immunity</x:v>
      </x:c>
    </x:row>
    <x:row r="68">
      <x:c r="A68" s="38" t="str">
        <x:v>Elixirs</x:v>
      </x:c>
      <x:c r="B68" s="51" t="str">
        <x:v>Immunity Elixirs</x:v>
      </x:c>
      <x:c r="C68" s="51" t="str">
        <x:v>Elixir of Confusion Immunity</x:v>
      </x:c>
      <x:c r="D68" s="51" t="str">
        <x:v>Rare</x:v>
      </x:c>
      <x:c r="E68" s="51" t="n">
        <x:v>28</x:v>
      </x:c>
      <x:c r="F68" s="51" t="str">
        <x:v>Root</x:v>
      </x:c>
      <x:c r="G68" s="51" t="str">
        <x:v>Flower</x:v>
      </x:c>
      <x:c r="H68" s="51" t="str">
        <x:v>Mineral / Salt / Ash</x:v>
      </x:c>
      <x:c r="I68" s="51" t="str">
        <x:v>Root + Flower + Mineral / Salt / Ash</x:v>
      </x:c>
      <x:c r="J68" s="51" t="str">
        <x:v>Confusion, Mind, Psychic</x:v>
      </x:c>
      <x:c r="K68" s="51" t="str">
        <x:v>Confusion</x:v>
      </x:c>
      <x:c r="L68" s="51" t="str">
        <x:v>Required</x:v>
      </x:c>
      <x:c r="M68" s="51" t="str">
        <x:v>1 hour</x:v>
      </x:c>
      <x:c r="N68" s="51" t="str">
        <x:v>Immediately ends the Confused condition if present and grants immunity to Confused for 1 hour.</x:v>
      </x:c>
      <x:c r="O68" s="51" t="str">
        <x:v>Bonus Action to use or apply</x:v>
      </x:c>
      <x:c r="P68" s="39" t="str">
        <x:v>elixir_condition_immunity</x:v>
      </x:c>
    </x:row>
    <x:row r="69">
      <x:c r="A69" s="38" t="str">
        <x:v>Elixirs</x:v>
      </x:c>
      <x:c r="B69" s="51" t="str">
        <x:v>Immunity Elixirs</x:v>
      </x:c>
      <x:c r="C69" s="51" t="str">
        <x:v>Elixir of Deafness Immunity</x:v>
      </x:c>
      <x:c r="D69" s="51" t="str">
        <x:v>Uncommon</x:v>
      </x:c>
      <x:c r="E69" s="51" t="n">
        <x:v>22</x:v>
      </x:c>
      <x:c r="F69" s="51" t="str">
        <x:v>Root</x:v>
      </x:c>
      <x:c r="G69" s="51" t="str">
        <x:v>Flower</x:v>
      </x:c>
      <x:c r="H69" s="51" t="str">
        <x:v>Mineral / Salt / Ash</x:v>
      </x:c>
      <x:c r="I69" s="51" t="str">
        <x:v>Root + Flower + Mineral / Salt / Ash</x:v>
      </x:c>
      <x:c r="J69" s="51" t="str">
        <x:v>Deafness, Sound, Thunder</x:v>
      </x:c>
      <x:c r="K69" s="51" t="str">
        <x:v>Deafness</x:v>
      </x:c>
      <x:c r="L69" s="51" t="str">
        <x:v>Required</x:v>
      </x:c>
      <x:c r="M69" s="51" t="str">
        <x:v>1 hour</x:v>
      </x:c>
      <x:c r="N69" s="51" t="str">
        <x:v>Immediately ends the Deafened condition if present and grants immunity to Deafened for 1 hour.</x:v>
      </x:c>
      <x:c r="O69" s="51" t="str">
        <x:v>Bonus Action to use or apply</x:v>
      </x:c>
      <x:c r="P69" s="39" t="str">
        <x:v>elixir_condition_immunity</x:v>
      </x:c>
    </x:row>
    <x:row r="70">
      <x:c r="A70" s="38" t="str">
        <x:v>Elixirs</x:v>
      </x:c>
      <x:c r="B70" s="51" t="str">
        <x:v>Immunity Elixirs</x:v>
      </x:c>
      <x:c r="C70" s="51" t="str">
        <x:v>Elixir of Fear Immunity</x:v>
      </x:c>
      <x:c r="D70" s="51" t="str">
        <x:v>Rare</x:v>
      </x:c>
      <x:c r="E70" s="51" t="n">
        <x:v>28</x:v>
      </x:c>
      <x:c r="F70" s="51" t="str">
        <x:v>Root</x:v>
      </x:c>
      <x:c r="G70" s="51" t="str">
        <x:v>Flower</x:v>
      </x:c>
      <x:c r="H70" s="51" t="str">
        <x:v>Mineral / Salt / Ash</x:v>
      </x:c>
      <x:c r="I70" s="51" t="str">
        <x:v>Root + Flower + Mineral / Salt / Ash</x:v>
      </x:c>
      <x:c r="J70" s="51" t="str">
        <x:v>Fear, Mind, Psychic</x:v>
      </x:c>
      <x:c r="K70" s="51" t="str">
        <x:v>Fear</x:v>
      </x:c>
      <x:c r="L70" s="51" t="str">
        <x:v>Required</x:v>
      </x:c>
      <x:c r="M70" s="51" t="str">
        <x:v>1 hour</x:v>
      </x:c>
      <x:c r="N70" s="51" t="str">
        <x:v>Immediately ends the Frightened condition if present and grants immunity to Frightened for 1 hour.</x:v>
      </x:c>
      <x:c r="O70" s="51" t="str">
        <x:v>Bonus Action to use or apply</x:v>
      </x:c>
      <x:c r="P70" s="39" t="str">
        <x:v>elixir_condition_immunity</x:v>
      </x:c>
    </x:row>
    <x:row r="71">
      <x:c r="A71" s="38" t="str">
        <x:v>Elixirs</x:v>
      </x:c>
      <x:c r="B71" s="51" t="str">
        <x:v>Immunity Elixirs</x:v>
      </x:c>
      <x:c r="C71" s="51" t="str">
        <x:v>Elixir of Paralysis Immunity</x:v>
      </x:c>
      <x:c r="D71" s="51" t="str">
        <x:v>Rare</x:v>
      </x:c>
      <x:c r="E71" s="51" t="n">
        <x:v>28</x:v>
      </x:c>
      <x:c r="F71" s="51" t="str">
        <x:v>Root</x:v>
      </x:c>
      <x:c r="G71" s="51" t="str">
        <x:v>Flower</x:v>
      </x:c>
      <x:c r="H71" s="51" t="str">
        <x:v>Mineral / Salt / Ash</x:v>
      </x:c>
      <x:c r="I71" s="51" t="str">
        <x:v>Root + Flower + Mineral / Salt / Ash</x:v>
      </x:c>
      <x:c r="J71" s="51" t="str">
        <x:v>Paralysis, Nerve</x:v>
      </x:c>
      <x:c r="K71" s="51" t="str">
        <x:v>Paralysis</x:v>
      </x:c>
      <x:c r="L71" s="51" t="str">
        <x:v>Required</x:v>
      </x:c>
      <x:c r="M71" s="51" t="str">
        <x:v>1 hour</x:v>
      </x:c>
      <x:c r="N71" s="51" t="str">
        <x:v>Immediately ends the Paralyzed condition if present and grants immunity to Paralyzed for 1 hour.</x:v>
      </x:c>
      <x:c r="O71" s="51" t="str">
        <x:v>Bonus Action to use or apply</x:v>
      </x:c>
      <x:c r="P71" s="39" t="str">
        <x:v>elixir_condition_immunity</x:v>
      </x:c>
    </x:row>
    <x:row r="72">
      <x:c r="A72" s="38" t="str">
        <x:v>Elixirs</x:v>
      </x:c>
      <x:c r="B72" s="51" t="str">
        <x:v>Immunity Elixirs</x:v>
      </x:c>
      <x:c r="C72" s="51" t="str">
        <x:v>Elixir of Petrification Immunity</x:v>
      </x:c>
      <x:c r="D72" s="51" t="str">
        <x:v>Very Rare</x:v>
      </x:c>
      <x:c r="E72" s="51" t="n">
        <x:v>34</x:v>
      </x:c>
      <x:c r="F72" s="51" t="str">
        <x:v>Root</x:v>
      </x:c>
      <x:c r="G72" s="51" t="str">
        <x:v>Flower</x:v>
      </x:c>
      <x:c r="H72" s="51" t="str">
        <x:v>Mineral / Salt / Ash</x:v>
      </x:c>
      <x:c r="I72" s="51" t="str">
        <x:v>Root + Flower + Mineral / Salt / Ash</x:v>
      </x:c>
      <x:c r="J72" s="51" t="str">
        <x:v>Petrification, Stone</x:v>
      </x:c>
      <x:c r="K72" s="51" t="str">
        <x:v>Petrification</x:v>
      </x:c>
      <x:c r="L72" s="51" t="str">
        <x:v>Required</x:v>
      </x:c>
      <x:c r="M72" s="51" t="str">
        <x:v>1 hour</x:v>
      </x:c>
      <x:c r="N72" s="51" t="str">
        <x:v>Immediately ends the Petrified condition if present and grants immunity to Petrified for 1 hour.</x:v>
      </x:c>
      <x:c r="O72" s="51" t="str">
        <x:v>Bonus Action to use or apply</x:v>
      </x:c>
      <x:c r="P72" s="39" t="str">
        <x:v>elixir_condition_immunity</x:v>
      </x:c>
    </x:row>
    <x:row r="73">
      <x:c r="A73" s="38" t="str">
        <x:v>Elixirs</x:v>
      </x:c>
      <x:c r="B73" s="51" t="str">
        <x:v>Immunity Elixirs</x:v>
      </x:c>
      <x:c r="C73" s="51" t="str">
        <x:v>Elixir of Poison Immunity</x:v>
      </x:c>
      <x:c r="D73" s="51" t="str">
        <x:v>Uncommon</x:v>
      </x:c>
      <x:c r="E73" s="51" t="n">
        <x:v>22</x:v>
      </x:c>
      <x:c r="F73" s="51" t="str">
        <x:v>Root</x:v>
      </x:c>
      <x:c r="G73" s="51" t="str">
        <x:v>Flower</x:v>
      </x:c>
      <x:c r="H73" s="51" t="str">
        <x:v>Mineral / Salt / Ash</x:v>
      </x:c>
      <x:c r="I73" s="51" t="str">
        <x:v>Root + Flower + Mineral / Salt / Ash</x:v>
      </x:c>
      <x:c r="J73" s="51" t="str">
        <x:v>Poison, Venom</x:v>
      </x:c>
      <x:c r="K73" s="51" t="str">
        <x:v>Poison</x:v>
      </x:c>
      <x:c r="L73" s="51" t="str">
        <x:v>Required</x:v>
      </x:c>
      <x:c r="M73" s="51" t="str">
        <x:v>1 hour</x:v>
      </x:c>
      <x:c r="N73" s="51" t="str">
        <x:v>Immediately ends the Poisoned condition if present and grants immunity to Poisoned for 1 hour.</x:v>
      </x:c>
      <x:c r="O73" s="51" t="str">
        <x:v>Bonus Action to use or apply</x:v>
      </x:c>
      <x:c r="P73" s="39" t="str">
        <x:v>elixir_condition_immunity</x:v>
      </x:c>
    </x:row>
    <x:row r="74">
      <x:c r="A74" s="38" t="str">
        <x:v>Elixirs</x:v>
      </x:c>
      <x:c r="B74" s="51" t="str">
        <x:v>Immunity Elixirs</x:v>
      </x:c>
      <x:c r="C74" s="51" t="str">
        <x:v>Elixir of Restraint Immunity</x:v>
      </x:c>
      <x:c r="D74" s="51" t="str">
        <x:v>Rare</x:v>
      </x:c>
      <x:c r="E74" s="51" t="n">
        <x:v>28</x:v>
      </x:c>
      <x:c r="F74" s="51" t="str">
        <x:v>Root</x:v>
      </x:c>
      <x:c r="G74" s="51" t="str">
        <x:v>Flower</x:v>
      </x:c>
      <x:c r="H74" s="51" t="str">
        <x:v>Mineral / Salt / Ash</x:v>
      </x:c>
      <x:c r="I74" s="51" t="str">
        <x:v>Root + Flower + Mineral / Salt / Ash</x:v>
      </x:c>
      <x:c r="J74" s="51" t="str">
        <x:v>Restraint, Binding</x:v>
      </x:c>
      <x:c r="K74" s="51" t="str">
        <x:v>Restraint</x:v>
      </x:c>
      <x:c r="L74" s="51" t="str">
        <x:v>Required</x:v>
      </x:c>
      <x:c r="M74" s="51" t="str">
        <x:v>1 hour</x:v>
      </x:c>
      <x:c r="N74" s="51" t="str">
        <x:v>Immediately ends the Restrained condition if present and grants immunity to Restrained for 1 hour.</x:v>
      </x:c>
      <x:c r="O74" s="51" t="str">
        <x:v>Bonus Action to use or apply</x:v>
      </x:c>
      <x:c r="P74" s="39" t="str">
        <x:v>elixir_condition_immunity</x:v>
      </x:c>
    </x:row>
    <x:row r="75">
      <x:c r="A75" s="38" t="str">
        <x:v>Elixirs</x:v>
      </x:c>
      <x:c r="B75" s="51" t="str">
        <x:v>Immunity Elixirs</x:v>
      </x:c>
      <x:c r="C75" s="51" t="str">
        <x:v>Elixir of Stunning Immunity</x:v>
      </x:c>
      <x:c r="D75" s="51" t="str">
        <x:v>Rare</x:v>
      </x:c>
      <x:c r="E75" s="51" t="n">
        <x:v>28</x:v>
      </x:c>
      <x:c r="F75" s="51" t="str">
        <x:v>Root</x:v>
      </x:c>
      <x:c r="G75" s="51" t="str">
        <x:v>Flower</x:v>
      </x:c>
      <x:c r="H75" s="51" t="str">
        <x:v>Mineral / Salt / Ash</x:v>
      </x:c>
      <x:c r="I75" s="51" t="str">
        <x:v>Root + Flower + Mineral / Salt / Ash</x:v>
      </x:c>
      <x:c r="J75" s="51" t="str">
        <x:v>Stunning, Nerve, Lightning, Thunder</x:v>
      </x:c>
      <x:c r="K75" s="51" t="str">
        <x:v>Stunning</x:v>
      </x:c>
      <x:c r="L75" s="51" t="str">
        <x:v>Required</x:v>
      </x:c>
      <x:c r="M75" s="51" t="str">
        <x:v>1 hour</x:v>
      </x:c>
      <x:c r="N75" s="51" t="str">
        <x:v>Immediately ends the Stunned condition if present and grants immunity to Stunned for 1 hour.</x:v>
      </x:c>
      <x:c r="O75" s="51" t="str">
        <x:v>Bonus Action to use or apply</x:v>
      </x:c>
      <x:c r="P75" s="39" t="str">
        <x:v>elixir_condition_immunity</x:v>
      </x:c>
    </x:row>
    <x:row r="76">
      <x:c r="A76" s="38" t="str">
        <x:v>Elixirs</x:v>
      </x:c>
      <x:c r="B76" s="51" t="str">
        <x:v>Resistance Elixirs</x:v>
      </x:c>
      <x:c r="C76" s="51" t="str">
        <x:v>Elixir of Acid Resistance</x:v>
      </x:c>
      <x:c r="D76" s="51" t="str">
        <x:v>Uncommon</x:v>
      </x:c>
      <x:c r="E76" s="51" t="n">
        <x:v>22</x:v>
      </x:c>
      <x:c r="F76" s="51" t="str">
        <x:v>Moss / Lichen</x:v>
      </x:c>
      <x:c r="G76" s="51" t="str">
        <x:v>Root</x:v>
      </x:c>
      <x:c r="H76" s="51" t="str">
        <x:v>Mineral / Salt / Ash</x:v>
      </x:c>
      <x:c r="I76" s="51" t="str">
        <x:v>Moss / Lichen + Root + Mineral / Salt / Ash</x:v>
      </x:c>
      <x:c r="J76" s="51" t="str">
        <x:v>Acid</x:v>
      </x:c>
      <x:c r="K76" s="51" t="str">
        <x:v>Acid</x:v>
      </x:c>
      <x:c r="L76" s="51" t="str">
        <x:v>Required</x:v>
      </x:c>
      <x:c r="M76" s="51" t="str">
        <x:v>1 hour</x:v>
      </x:c>
      <x:c r="N76" s="51" t="str">
        <x:v>The drinker gains resistance to acid damage for 1 hour.</x:v>
      </x:c>
      <x:c r="O76" s="51" t="str">
        <x:v>Bonus Action to use or apply</x:v>
      </x:c>
      <x:c r="P76" s="39" t="str">
        <x:v>elixir_element_resistance</x:v>
      </x:c>
    </x:row>
    <x:row r="77">
      <x:c r="A77" s="38" t="str">
        <x:v>Elixirs</x:v>
      </x:c>
      <x:c r="B77" s="51" t="str">
        <x:v>Resistance Elixirs</x:v>
      </x:c>
      <x:c r="C77" s="51" t="str">
        <x:v>Elixir of Cold Resistance</x:v>
      </x:c>
      <x:c r="D77" s="51" t="str">
        <x:v>Uncommon</x:v>
      </x:c>
      <x:c r="E77" s="51" t="n">
        <x:v>22</x:v>
      </x:c>
      <x:c r="F77" s="51" t="str">
        <x:v>Moss / Lichen</x:v>
      </x:c>
      <x:c r="G77" s="51" t="str">
        <x:v>Root</x:v>
      </x:c>
      <x:c r="H77" s="51" t="str">
        <x:v>Mineral / Salt / Ash</x:v>
      </x:c>
      <x:c r="I77" s="51" t="str">
        <x:v>Moss / Lichen + Root + Mineral / Salt / Ash</x:v>
      </x:c>
      <x:c r="J77" s="51" t="str">
        <x:v>Cold</x:v>
      </x:c>
      <x:c r="K77" s="51" t="str">
        <x:v>Cold</x:v>
      </x:c>
      <x:c r="L77" s="51" t="str">
        <x:v>Required</x:v>
      </x:c>
      <x:c r="M77" s="51" t="str">
        <x:v>1 hour</x:v>
      </x:c>
      <x:c r="N77" s="51" t="str">
        <x:v>The drinker gains resistance to cold damage for 1 hour.</x:v>
      </x:c>
      <x:c r="O77" s="51" t="str">
        <x:v>Bonus Action to use or apply</x:v>
      </x:c>
      <x:c r="P77" s="39" t="str">
        <x:v>elixir_element_resistance</x:v>
      </x:c>
    </x:row>
    <x:row r="78">
      <x:c r="A78" s="38" t="str">
        <x:v>Elixirs</x:v>
      </x:c>
      <x:c r="B78" s="51" t="str">
        <x:v>Resistance Elixirs</x:v>
      </x:c>
      <x:c r="C78" s="51" t="str">
        <x:v>Elixir of Fire Resistance</x:v>
      </x:c>
      <x:c r="D78" s="51" t="str">
        <x:v>Uncommon</x:v>
      </x:c>
      <x:c r="E78" s="51" t="n">
        <x:v>22</x:v>
      </x:c>
      <x:c r="F78" s="51" t="str">
        <x:v>Moss / Lichen</x:v>
      </x:c>
      <x:c r="G78" s="51" t="str">
        <x:v>Root</x:v>
      </x:c>
      <x:c r="H78" s="51" t="str">
        <x:v>Mineral / Salt / Ash</x:v>
      </x:c>
      <x:c r="I78" s="51" t="str">
        <x:v>Moss / Lichen + Root + Mineral / Salt / Ash</x:v>
      </x:c>
      <x:c r="J78" s="51" t="str">
        <x:v>Fire</x:v>
      </x:c>
      <x:c r="K78" s="51" t="str">
        <x:v>Fire</x:v>
      </x:c>
      <x:c r="L78" s="51" t="str">
        <x:v>Required</x:v>
      </x:c>
      <x:c r="M78" s="51" t="str">
        <x:v>1 hour</x:v>
      </x:c>
      <x:c r="N78" s="51" t="str">
        <x:v>The drinker gains resistance to fire damage for 1 hour.</x:v>
      </x:c>
      <x:c r="O78" s="51" t="str">
        <x:v>Bonus Action to use or apply</x:v>
      </x:c>
      <x:c r="P78" s="39" t="str">
        <x:v>elixir_element_resistance</x:v>
      </x:c>
    </x:row>
    <x:row r="79">
      <x:c r="A79" s="38" t="str">
        <x:v>Elixirs</x:v>
      </x:c>
      <x:c r="B79" s="51" t="str">
        <x:v>Resistance Elixirs</x:v>
      </x:c>
      <x:c r="C79" s="51" t="str">
        <x:v>Elixir of Force Resistance</x:v>
      </x:c>
      <x:c r="D79" s="51" t="str">
        <x:v>Uncommon</x:v>
      </x:c>
      <x:c r="E79" s="51" t="n">
        <x:v>22</x:v>
      </x:c>
      <x:c r="F79" s="51" t="str">
        <x:v>Moss / Lichen</x:v>
      </x:c>
      <x:c r="G79" s="51" t="str">
        <x:v>Root</x:v>
      </x:c>
      <x:c r="H79" s="51" t="str">
        <x:v>Mineral / Salt / Ash</x:v>
      </x:c>
      <x:c r="I79" s="51" t="str">
        <x:v>Moss / Lichen + Root + Mineral / Salt / Ash</x:v>
      </x:c>
      <x:c r="J79" s="51" t="str">
        <x:v>Force</x:v>
      </x:c>
      <x:c r="K79" s="51" t="str">
        <x:v>Force</x:v>
      </x:c>
      <x:c r="L79" s="51" t="str">
        <x:v>Required</x:v>
      </x:c>
      <x:c r="M79" s="51" t="str">
        <x:v>1 hour</x:v>
      </x:c>
      <x:c r="N79" s="51" t="str">
        <x:v>The drinker gains resistance to force damage for 1 hour.</x:v>
      </x:c>
      <x:c r="O79" s="51" t="str">
        <x:v>Bonus Action to use or apply</x:v>
      </x:c>
      <x:c r="P79" s="39" t="str">
        <x:v>elixir_element_resistance</x:v>
      </x:c>
    </x:row>
    <x:row r="80">
      <x:c r="A80" s="38" t="str">
        <x:v>Elixirs</x:v>
      </x:c>
      <x:c r="B80" s="51" t="str">
        <x:v>Resistance Elixirs</x:v>
      </x:c>
      <x:c r="C80" s="51" t="str">
        <x:v>Elixir of Lightning Resistance</x:v>
      </x:c>
      <x:c r="D80" s="51" t="str">
        <x:v>Uncommon</x:v>
      </x:c>
      <x:c r="E80" s="51" t="n">
        <x:v>22</x:v>
      </x:c>
      <x:c r="F80" s="51" t="str">
        <x:v>Moss / Lichen</x:v>
      </x:c>
      <x:c r="G80" s="51" t="str">
        <x:v>Root</x:v>
      </x:c>
      <x:c r="H80" s="51" t="str">
        <x:v>Mineral / Salt / Ash</x:v>
      </x:c>
      <x:c r="I80" s="51" t="str">
        <x:v>Moss / Lichen + Root + Mineral / Salt / Ash</x:v>
      </x:c>
      <x:c r="J80" s="51" t="str">
        <x:v>Lightning</x:v>
      </x:c>
      <x:c r="K80" s="51" t="str">
        <x:v>Lightning</x:v>
      </x:c>
      <x:c r="L80" s="51" t="str">
        <x:v>Required</x:v>
      </x:c>
      <x:c r="M80" s="51" t="str">
        <x:v>1 hour</x:v>
      </x:c>
      <x:c r="N80" s="51" t="str">
        <x:v>The drinker gains resistance to lightning damage for 1 hour.</x:v>
      </x:c>
      <x:c r="O80" s="51" t="str">
        <x:v>Bonus Action to use or apply</x:v>
      </x:c>
      <x:c r="P80" s="39" t="str">
        <x:v>elixir_element_resistance</x:v>
      </x:c>
    </x:row>
    <x:row r="81">
      <x:c r="A81" s="38" t="str">
        <x:v>Elixirs</x:v>
      </x:c>
      <x:c r="B81" s="51" t="str">
        <x:v>Resistance Elixirs</x:v>
      </x:c>
      <x:c r="C81" s="51" t="str">
        <x:v>Elixir of Necrotic Resistance</x:v>
      </x:c>
      <x:c r="D81" s="51" t="str">
        <x:v>Uncommon</x:v>
      </x:c>
      <x:c r="E81" s="51" t="n">
        <x:v>22</x:v>
      </x:c>
      <x:c r="F81" s="51" t="str">
        <x:v>Moss / Lichen</x:v>
      </x:c>
      <x:c r="G81" s="51" t="str">
        <x:v>Root</x:v>
      </x:c>
      <x:c r="H81" s="51" t="str">
        <x:v>Mineral / Salt / Ash</x:v>
      </x:c>
      <x:c r="I81" s="51" t="str">
        <x:v>Moss / Lichen + Root + Mineral / Salt / Ash</x:v>
      </x:c>
      <x:c r="J81" s="51" t="str">
        <x:v>Necrotic</x:v>
      </x:c>
      <x:c r="K81" s="51" t="str">
        <x:v>Necrotic</x:v>
      </x:c>
      <x:c r="L81" s="51" t="str">
        <x:v>Required</x:v>
      </x:c>
      <x:c r="M81" s="51" t="str">
        <x:v>1 hour</x:v>
      </x:c>
      <x:c r="N81" s="51" t="str">
        <x:v>The drinker gains resistance to necrotic damage for 1 hour.</x:v>
      </x:c>
      <x:c r="O81" s="51" t="str">
        <x:v>Bonus Action to use or apply</x:v>
      </x:c>
      <x:c r="P81" s="39" t="str">
        <x:v>elixir_element_resistance</x:v>
      </x:c>
    </x:row>
    <x:row r="82">
      <x:c r="A82" s="38" t="str">
        <x:v>Elixirs</x:v>
      </x:c>
      <x:c r="B82" s="51" t="str">
        <x:v>Resistance Elixirs</x:v>
      </x:c>
      <x:c r="C82" s="51" t="str">
        <x:v>Elixir of Poison Resistance</x:v>
      </x:c>
      <x:c r="D82" s="51" t="str">
        <x:v>Uncommon</x:v>
      </x:c>
      <x:c r="E82" s="51" t="n">
        <x:v>22</x:v>
      </x:c>
      <x:c r="F82" s="51" t="str">
        <x:v>Moss / Lichen</x:v>
      </x:c>
      <x:c r="G82" s="51" t="str">
        <x:v>Root</x:v>
      </x:c>
      <x:c r="H82" s="51" t="str">
        <x:v>Mineral / Salt / Ash</x:v>
      </x:c>
      <x:c r="I82" s="51" t="str">
        <x:v>Moss / Lichen + Root + Mineral / Salt / Ash</x:v>
      </x:c>
      <x:c r="J82" s="51" t="str">
        <x:v>Poison</x:v>
      </x:c>
      <x:c r="K82" s="51" t="str">
        <x:v>Poison</x:v>
      </x:c>
      <x:c r="L82" s="51" t="str">
        <x:v>Required</x:v>
      </x:c>
      <x:c r="M82" s="51" t="str">
        <x:v>1 hour</x:v>
      </x:c>
      <x:c r="N82" s="51" t="str">
        <x:v>The drinker gains resistance to poison damage for 1 hour.</x:v>
      </x:c>
      <x:c r="O82" s="51" t="str">
        <x:v>Bonus Action to use or apply</x:v>
      </x:c>
      <x:c r="P82" s="39" t="str">
        <x:v>elixir_element_resistance</x:v>
      </x:c>
    </x:row>
    <x:row r="83">
      <x:c r="A83" s="38" t="str">
        <x:v>Elixirs</x:v>
      </x:c>
      <x:c r="B83" s="51" t="str">
        <x:v>Resistance Elixirs</x:v>
      </x:c>
      <x:c r="C83" s="51" t="str">
        <x:v>Elixir of Psychic Resistance</x:v>
      </x:c>
      <x:c r="D83" s="51" t="str">
        <x:v>Uncommon</x:v>
      </x:c>
      <x:c r="E83" s="51" t="n">
        <x:v>22</x:v>
      </x:c>
      <x:c r="F83" s="51" t="str">
        <x:v>Moss / Lichen</x:v>
      </x:c>
      <x:c r="G83" s="51" t="str">
        <x:v>Root</x:v>
      </x:c>
      <x:c r="H83" s="51" t="str">
        <x:v>Mineral / Salt / Ash</x:v>
      </x:c>
      <x:c r="I83" s="51" t="str">
        <x:v>Moss / Lichen + Root + Mineral / Salt / Ash</x:v>
      </x:c>
      <x:c r="J83" s="51" t="str">
        <x:v>Psychic</x:v>
      </x:c>
      <x:c r="K83" s="51" t="str">
        <x:v>Psychic</x:v>
      </x:c>
      <x:c r="L83" s="51" t="str">
        <x:v>Required</x:v>
      </x:c>
      <x:c r="M83" s="51" t="str">
        <x:v>1 hour</x:v>
      </x:c>
      <x:c r="N83" s="51" t="str">
        <x:v>The drinker gains resistance to psychic damage for 1 hour.</x:v>
      </x:c>
      <x:c r="O83" s="51" t="str">
        <x:v>Bonus Action to use or apply</x:v>
      </x:c>
      <x:c r="P83" s="39" t="str">
        <x:v>elixir_element_resistance</x:v>
      </x:c>
    </x:row>
    <x:row r="84">
      <x:c r="A84" s="38" t="str">
        <x:v>Elixirs</x:v>
      </x:c>
      <x:c r="B84" s="51" t="str">
        <x:v>Resistance Elixirs</x:v>
      </x:c>
      <x:c r="C84" s="51" t="str">
        <x:v>Elixir of Radiant Resistance</x:v>
      </x:c>
      <x:c r="D84" s="51" t="str">
        <x:v>Uncommon</x:v>
      </x:c>
      <x:c r="E84" s="51" t="n">
        <x:v>22</x:v>
      </x:c>
      <x:c r="F84" s="51" t="str">
        <x:v>Moss / Lichen</x:v>
      </x:c>
      <x:c r="G84" s="51" t="str">
        <x:v>Root</x:v>
      </x:c>
      <x:c r="H84" s="51" t="str">
        <x:v>Mineral / Salt / Ash</x:v>
      </x:c>
      <x:c r="I84" s="51" t="str">
        <x:v>Moss / Lichen + Root + Mineral / Salt / Ash</x:v>
      </x:c>
      <x:c r="J84" s="51" t="str">
        <x:v>Radiant</x:v>
      </x:c>
      <x:c r="K84" s="51" t="str">
        <x:v>Radiant</x:v>
      </x:c>
      <x:c r="L84" s="51" t="str">
        <x:v>Required</x:v>
      </x:c>
      <x:c r="M84" s="51" t="str">
        <x:v>1 hour</x:v>
      </x:c>
      <x:c r="N84" s="51" t="str">
        <x:v>The drinker gains resistance to radiant damage for 1 hour.</x:v>
      </x:c>
      <x:c r="O84" s="51" t="str">
        <x:v>Bonus Action to use or apply</x:v>
      </x:c>
      <x:c r="P84" s="39" t="str">
        <x:v>elixir_element_resistance</x:v>
      </x:c>
    </x:row>
    <x:row r="85">
      <x:c r="A85" s="38" t="str">
        <x:v>Elixirs</x:v>
      </x:c>
      <x:c r="B85" s="51" t="str">
        <x:v>Resistance Elixirs</x:v>
      </x:c>
      <x:c r="C85" s="51" t="str">
        <x:v>Elixir of Thunder Resistance</x:v>
      </x:c>
      <x:c r="D85" s="51" t="str">
        <x:v>Uncommon</x:v>
      </x:c>
      <x:c r="E85" s="51" t="n">
        <x:v>22</x:v>
      </x:c>
      <x:c r="F85" s="51" t="str">
        <x:v>Moss / Lichen</x:v>
      </x:c>
      <x:c r="G85" s="51" t="str">
        <x:v>Root</x:v>
      </x:c>
      <x:c r="H85" s="51" t="str">
        <x:v>Mineral / Salt / Ash</x:v>
      </x:c>
      <x:c r="I85" s="51" t="str">
        <x:v>Moss / Lichen + Root + Mineral / Salt / Ash</x:v>
      </x:c>
      <x:c r="J85" s="51" t="str">
        <x:v>Thunder</x:v>
      </x:c>
      <x:c r="K85" s="51" t="str">
        <x:v>Thunder</x:v>
      </x:c>
      <x:c r="L85" s="51" t="str">
        <x:v>Required</x:v>
      </x:c>
      <x:c r="M85" s="51" t="str">
        <x:v>1 hour</x:v>
      </x:c>
      <x:c r="N85" s="51" t="str">
        <x:v>The drinker gains resistance to thunder damage for 1 hour.</x:v>
      </x:c>
      <x:c r="O85" s="51" t="str">
        <x:v>Bonus Action to use or apply</x:v>
      </x:c>
      <x:c r="P85" s="39" t="str">
        <x:v>elixir_element_resistance</x:v>
      </x:c>
    </x:row>
    <x:row r="86">
      <x:c r="A86" s="38" t="str">
        <x:v>Oils</x:v>
      </x:c>
      <x:c r="B86" s="51" t="str">
        <x:v>Condition Oils</x:v>
      </x:c>
      <x:c r="C86" s="51" t="str">
        <x:v>Oil of Blindness</x:v>
      </x:c>
      <x:c r="D86" s="51" t="str">
        <x:v>Uncommon</x:v>
      </x:c>
      <x:c r="E86" s="51" t="n">
        <x:v>22</x:v>
      </x:c>
      <x:c r="F86" s="51" t="str">
        <x:v>Sap / Resin</x:v>
      </x:c>
      <x:c r="G86" s="51" t="str">
        <x:v>Venom / Poison Plant</x:v>
      </x:c>
      <x:c r="H86" s="51" t="str">
        <x:v>Mineral / Salt / Ash</x:v>
      </x:c>
      <x:c r="I86" s="51" t="str">
        <x:v>Sap / Resin + Venom / Poison Plant + Mineral / Salt / Ash</x:v>
      </x:c>
      <x:c r="J86" s="51" t="str">
        <x:v>Blindness, Sight</x:v>
      </x:c>
      <x:c r="K86" s="51" t="str">
        <x:v>Blindness</x:v>
      </x:c>
      <x:c r="L86" s="51" t="str">
        <x:v>Required</x:v>
      </x:c>
      <x:c r="M86" s="51" t="str">
        <x:v>1 hour</x:v>
      </x:c>
      <x:c r="N86" s="51" t="str">
        <x:v>Coat one weapon or up to 20 pieces of ammunition. The next successful hit within 1 hour forces a Constitution saving throw; on a failed save, the target is Blinded for 1 minute.</x:v>
      </x:c>
      <x:c r="O86" s="51" t="str">
        <x:v>Bonus Action to use or apply</x:v>
      </x:c>
      <x:c r="P86" s="39" t="str">
        <x:v>oil_condition</x:v>
      </x:c>
    </x:row>
    <x:row r="87">
      <x:c r="A87" s="38" t="str">
        <x:v>Oils</x:v>
      </x:c>
      <x:c r="B87" s="51" t="str">
        <x:v>Condition Oils</x:v>
      </x:c>
      <x:c r="C87" s="51" t="str">
        <x:v>Oil of Charm</x:v>
      </x:c>
      <x:c r="D87" s="51" t="str">
        <x:v>Rare</x:v>
      </x:c>
      <x:c r="E87" s="51" t="n">
        <x:v>28</x:v>
      </x:c>
      <x:c r="F87" s="51" t="str">
        <x:v>Sap / Resin</x:v>
      </x:c>
      <x:c r="G87" s="51" t="str">
        <x:v>Venom / Poison Plant</x:v>
      </x:c>
      <x:c r="H87" s="51" t="str">
        <x:v>Mineral / Salt / Ash</x:v>
      </x:c>
      <x:c r="I87" s="51" t="str">
        <x:v>Sap / Resin + Venom / Poison Plant + Mineral / Salt / Ash</x:v>
      </x:c>
      <x:c r="J87" s="51" t="str">
        <x:v>Charm, Mind, Psychic, Fey</x:v>
      </x:c>
      <x:c r="K87" s="51" t="str">
        <x:v>Charm</x:v>
      </x:c>
      <x:c r="L87" s="51" t="str">
        <x:v>Required</x:v>
      </x:c>
      <x:c r="M87" s="51" t="str">
        <x:v>1 hour</x:v>
      </x:c>
      <x:c r="N87" s="51" t="str">
        <x:v>Coat one weapon or up to 20 pieces of ammunition. The next successful hit within 1 hour forces a Wisdom saving throw; on a failed save, the target is Charmed for 1 minute.</x:v>
      </x:c>
      <x:c r="O87" s="51" t="str">
        <x:v>Bonus Action to use or apply</x:v>
      </x:c>
      <x:c r="P87" s="39" t="str">
        <x:v>oil_condition</x:v>
      </x:c>
    </x:row>
    <x:row r="88">
      <x:c r="A88" s="38" t="str">
        <x:v>Oils</x:v>
      </x:c>
      <x:c r="B88" s="51" t="str">
        <x:v>Condition Oils</x:v>
      </x:c>
      <x:c r="C88" s="51" t="str">
        <x:v>Oil of Confusion</x:v>
      </x:c>
      <x:c r="D88" s="51" t="str">
        <x:v>Rare</x:v>
      </x:c>
      <x:c r="E88" s="51" t="n">
        <x:v>28</x:v>
      </x:c>
      <x:c r="F88" s="51" t="str">
        <x:v>Sap / Resin</x:v>
      </x:c>
      <x:c r="G88" s="51" t="str">
        <x:v>Venom / Poison Plant</x:v>
      </x:c>
      <x:c r="H88" s="51" t="str">
        <x:v>Mineral / Salt / Ash</x:v>
      </x:c>
      <x:c r="I88" s="51" t="str">
        <x:v>Sap / Resin + Venom / Poison Plant + Mineral / Salt / Ash</x:v>
      </x:c>
      <x:c r="J88" s="51" t="str">
        <x:v>Confusion, Mind, Psychic</x:v>
      </x:c>
      <x:c r="K88" s="51" t="str">
        <x:v>Confusion</x:v>
      </x:c>
      <x:c r="L88" s="51" t="str">
        <x:v>Required</x:v>
      </x:c>
      <x:c r="M88" s="51" t="str">
        <x:v>1 hour</x:v>
      </x:c>
      <x:c r="N88" s="51" t="str">
        <x:v>Coat one weapon or up to 20 pieces of ammunition. The next successful hit within 1 hour forces a Wisdom saving throw; on a failed save, the target is Confused for 1 minute.</x:v>
      </x:c>
      <x:c r="O88" s="51" t="str">
        <x:v>Bonus Action to use or apply</x:v>
      </x:c>
      <x:c r="P88" s="39" t="str">
        <x:v>oil_condition</x:v>
      </x:c>
    </x:row>
    <x:row r="89">
      <x:c r="A89" s="38" t="str">
        <x:v>Oils</x:v>
      </x:c>
      <x:c r="B89" s="51" t="str">
        <x:v>Condition Oils</x:v>
      </x:c>
      <x:c r="C89" s="51" t="str">
        <x:v>Oil of Deafness</x:v>
      </x:c>
      <x:c r="D89" s="51" t="str">
        <x:v>Uncommon</x:v>
      </x:c>
      <x:c r="E89" s="51" t="n">
        <x:v>22</x:v>
      </x:c>
      <x:c r="F89" s="51" t="str">
        <x:v>Sap / Resin</x:v>
      </x:c>
      <x:c r="G89" s="51" t="str">
        <x:v>Venom / Poison Plant</x:v>
      </x:c>
      <x:c r="H89" s="51" t="str">
        <x:v>Mineral / Salt / Ash</x:v>
      </x:c>
      <x:c r="I89" s="51" t="str">
        <x:v>Sap / Resin + Venom / Poison Plant + Mineral / Salt / Ash</x:v>
      </x:c>
      <x:c r="J89" s="51" t="str">
        <x:v>Deafness, Sound, Thunder</x:v>
      </x:c>
      <x:c r="K89" s="51" t="str">
        <x:v>Deafness</x:v>
      </x:c>
      <x:c r="L89" s="51" t="str">
        <x:v>Required</x:v>
      </x:c>
      <x:c r="M89" s="51" t="str">
        <x:v>1 hour</x:v>
      </x:c>
      <x:c r="N89" s="51" t="str">
        <x:v>Coat one weapon or up to 20 pieces of ammunition. The next successful hit within 1 hour forces a Constitution saving throw; on a failed save, the target is Deafened for 1 minute.</x:v>
      </x:c>
      <x:c r="O89" s="51" t="str">
        <x:v>Bonus Action to use or apply</x:v>
      </x:c>
      <x:c r="P89" s="39" t="str">
        <x:v>oil_condition</x:v>
      </x:c>
    </x:row>
    <x:row r="90">
      <x:c r="A90" s="38" t="str">
        <x:v>Oils</x:v>
      </x:c>
      <x:c r="B90" s="51" t="str">
        <x:v>Condition Oils</x:v>
      </x:c>
      <x:c r="C90" s="51" t="str">
        <x:v>Oil of Fear</x:v>
      </x:c>
      <x:c r="D90" s="51" t="str">
        <x:v>Rare</x:v>
      </x:c>
      <x:c r="E90" s="51" t="n">
        <x:v>28</x:v>
      </x:c>
      <x:c r="F90" s="51" t="str">
        <x:v>Sap / Resin</x:v>
      </x:c>
      <x:c r="G90" s="51" t="str">
        <x:v>Venom / Poison Plant</x:v>
      </x:c>
      <x:c r="H90" s="51" t="str">
        <x:v>Mineral / Salt / Ash</x:v>
      </x:c>
      <x:c r="I90" s="51" t="str">
        <x:v>Sap / Resin + Venom / Poison Plant + Mineral / Salt / Ash</x:v>
      </x:c>
      <x:c r="J90" s="51" t="str">
        <x:v>Fear, Mind, Psychic</x:v>
      </x:c>
      <x:c r="K90" s="51" t="str">
        <x:v>Fear</x:v>
      </x:c>
      <x:c r="L90" s="51" t="str">
        <x:v>Required</x:v>
      </x:c>
      <x:c r="M90" s="51" t="str">
        <x:v>1 hour</x:v>
      </x:c>
      <x:c r="N90" s="51" t="str">
        <x:v>Coat one weapon or up to 20 pieces of ammunition. The next successful hit within 1 hour forces a Wisdom saving throw; on a failed save, the target is Frightened for 1 minute.</x:v>
      </x:c>
      <x:c r="O90" s="51" t="str">
        <x:v>Bonus Action to use or apply</x:v>
      </x:c>
      <x:c r="P90" s="39" t="str">
        <x:v>oil_condition</x:v>
      </x:c>
    </x:row>
    <x:row r="91">
      <x:c r="A91" s="38" t="str">
        <x:v>Oils</x:v>
      </x:c>
      <x:c r="B91" s="51" t="str">
        <x:v>Condition Oils</x:v>
      </x:c>
      <x:c r="C91" s="51" t="str">
        <x:v>Oil of Paralysis</x:v>
      </x:c>
      <x:c r="D91" s="51" t="str">
        <x:v>Rare</x:v>
      </x:c>
      <x:c r="E91" s="51" t="n">
        <x:v>28</x:v>
      </x:c>
      <x:c r="F91" s="51" t="str">
        <x:v>Sap / Resin</x:v>
      </x:c>
      <x:c r="G91" s="51" t="str">
        <x:v>Venom / Poison Plant</x:v>
      </x:c>
      <x:c r="H91" s="51" t="str">
        <x:v>Mineral / Salt / Ash</x:v>
      </x:c>
      <x:c r="I91" s="51" t="str">
        <x:v>Sap / Resin + Venom / Poison Plant + Mineral / Salt / Ash</x:v>
      </x:c>
      <x:c r="J91" s="51" t="str">
        <x:v>Paralysis, Nerve</x:v>
      </x:c>
      <x:c r="K91" s="51" t="str">
        <x:v>Paralysis</x:v>
      </x:c>
      <x:c r="L91" s="51" t="str">
        <x:v>Required</x:v>
      </x:c>
      <x:c r="M91" s="51" t="str">
        <x:v>1 hour</x:v>
      </x:c>
      <x:c r="N91" s="51" t="str">
        <x:v>Coat one weapon or up to 20 pieces of ammunition. The next successful hit within 1 hour forces a Constitution saving throw; on a failed save, the target is Paralyzed for 1 minute.</x:v>
      </x:c>
      <x:c r="O91" s="51" t="str">
        <x:v>Bonus Action to use or apply</x:v>
      </x:c>
      <x:c r="P91" s="39" t="str">
        <x:v>oil_condition</x:v>
      </x:c>
    </x:row>
    <x:row r="92">
      <x:c r="A92" s="38" t="str">
        <x:v>Oils</x:v>
      </x:c>
      <x:c r="B92" s="51" t="str">
        <x:v>Condition Oils</x:v>
      </x:c>
      <x:c r="C92" s="51" t="str">
        <x:v>Oil of Petrification</x:v>
      </x:c>
      <x:c r="D92" s="51" t="str">
        <x:v>Very Rare</x:v>
      </x:c>
      <x:c r="E92" s="51" t="n">
        <x:v>34</x:v>
      </x:c>
      <x:c r="F92" s="51" t="str">
        <x:v>Sap / Resin</x:v>
      </x:c>
      <x:c r="G92" s="51" t="str">
        <x:v>Venom / Poison Plant</x:v>
      </x:c>
      <x:c r="H92" s="51" t="str">
        <x:v>Mineral / Salt / Ash</x:v>
      </x:c>
      <x:c r="I92" s="51" t="str">
        <x:v>Sap / Resin + Venom / Poison Plant + Mineral / Salt / Ash</x:v>
      </x:c>
      <x:c r="J92" s="51" t="str">
        <x:v>Petrification, Stone</x:v>
      </x:c>
      <x:c r="K92" s="51" t="str">
        <x:v>Petrification</x:v>
      </x:c>
      <x:c r="L92" s="51" t="str">
        <x:v>Required</x:v>
      </x:c>
      <x:c r="M92" s="51" t="str">
        <x:v>1 hour</x:v>
      </x:c>
      <x:c r="N92" s="51" t="str">
        <x:v>Coat one weapon or up to 20 pieces of ammunition. The next successful hit within 1 hour forces a Constitution saving throw; on a failed save, the target is Petrified for 1 minute.</x:v>
      </x:c>
      <x:c r="O92" s="51" t="str">
        <x:v>Bonus Action to use or apply</x:v>
      </x:c>
      <x:c r="P92" s="39" t="str">
        <x:v>oil_condition</x:v>
      </x:c>
    </x:row>
    <x:row r="93">
      <x:c r="A93" s="38" t="str">
        <x:v>Oils</x:v>
      </x:c>
      <x:c r="B93" s="51" t="str">
        <x:v>Condition Oils</x:v>
      </x:c>
      <x:c r="C93" s="51" t="str">
        <x:v>Oil of Poisoning</x:v>
      </x:c>
      <x:c r="D93" s="51" t="str">
        <x:v>Uncommon</x:v>
      </x:c>
      <x:c r="E93" s="51" t="n">
        <x:v>22</x:v>
      </x:c>
      <x:c r="F93" s="51" t="str">
        <x:v>Sap / Resin</x:v>
      </x:c>
      <x:c r="G93" s="51" t="str">
        <x:v>Venom / Poison Plant</x:v>
      </x:c>
      <x:c r="H93" s="51" t="str">
        <x:v>Mineral / Salt / Ash</x:v>
      </x:c>
      <x:c r="I93" s="51" t="str">
        <x:v>Sap / Resin + Venom / Poison Plant + Mineral / Salt / Ash</x:v>
      </x:c>
      <x:c r="J93" s="51" t="str">
        <x:v>Poison, Venom</x:v>
      </x:c>
      <x:c r="K93" s="51" t="str">
        <x:v>Poison</x:v>
      </x:c>
      <x:c r="L93" s="51" t="str">
        <x:v>Required</x:v>
      </x:c>
      <x:c r="M93" s="51" t="str">
        <x:v>1 hour</x:v>
      </x:c>
      <x:c r="N93" s="51" t="str">
        <x:v>Coat one weapon or up to 20 pieces of ammunition. The next successful hit within 1 hour forces a Constitution saving throw; on a failed save, the target is Poisoned for 1 minute.</x:v>
      </x:c>
      <x:c r="O93" s="51" t="str">
        <x:v>Bonus Action to use or apply</x:v>
      </x:c>
      <x:c r="P93" s="39" t="str">
        <x:v>oil_condition</x:v>
      </x:c>
    </x:row>
    <x:row r="94">
      <x:c r="A94" s="38" t="str">
        <x:v>Oils</x:v>
      </x:c>
      <x:c r="B94" s="51" t="str">
        <x:v>Condition Oils</x:v>
      </x:c>
      <x:c r="C94" s="51" t="str">
        <x:v>Oil of Restraint</x:v>
      </x:c>
      <x:c r="D94" s="51" t="str">
        <x:v>Rare</x:v>
      </x:c>
      <x:c r="E94" s="51" t="n">
        <x:v>28</x:v>
      </x:c>
      <x:c r="F94" s="51" t="str">
        <x:v>Sap / Resin</x:v>
      </x:c>
      <x:c r="G94" s="51" t="str">
        <x:v>Venom / Poison Plant</x:v>
      </x:c>
      <x:c r="H94" s="51" t="str">
        <x:v>Mineral / Salt / Ash</x:v>
      </x:c>
      <x:c r="I94" s="51" t="str">
        <x:v>Sap / Resin + Venom / Poison Plant + Mineral / Salt / Ash</x:v>
      </x:c>
      <x:c r="J94" s="51" t="str">
        <x:v>Restraint, Binding</x:v>
      </x:c>
      <x:c r="K94" s="51" t="str">
        <x:v>Restraint</x:v>
      </x:c>
      <x:c r="L94" s="51" t="str">
        <x:v>Required</x:v>
      </x:c>
      <x:c r="M94" s="51" t="str">
        <x:v>1 hour</x:v>
      </x:c>
      <x:c r="N94" s="51" t="str">
        <x:v>Coat one weapon or up to 20 pieces of ammunition. The next successful hit within 1 hour forces a Dexterity saving throw; on a failed save, the target is Restrained for 1 minute.</x:v>
      </x:c>
      <x:c r="O94" s="51" t="str">
        <x:v>Bonus Action to use or apply</x:v>
      </x:c>
      <x:c r="P94" s="39" t="str">
        <x:v>oil_condition</x:v>
      </x:c>
    </x:row>
    <x:row r="95">
      <x:c r="A95" s="38" t="str">
        <x:v>Oils</x:v>
      </x:c>
      <x:c r="B95" s="51" t="str">
        <x:v>Condition Oils</x:v>
      </x:c>
      <x:c r="C95" s="51" t="str">
        <x:v>Oil of Stunning</x:v>
      </x:c>
      <x:c r="D95" s="51" t="str">
        <x:v>Rare</x:v>
      </x:c>
      <x:c r="E95" s="51" t="n">
        <x:v>28</x:v>
      </x:c>
      <x:c r="F95" s="51" t="str">
        <x:v>Sap / Resin</x:v>
      </x:c>
      <x:c r="G95" s="51" t="str">
        <x:v>Venom / Poison Plant</x:v>
      </x:c>
      <x:c r="H95" s="51" t="str">
        <x:v>Mineral / Salt / Ash</x:v>
      </x:c>
      <x:c r="I95" s="51" t="str">
        <x:v>Sap / Resin + Venom / Poison Plant + Mineral / Salt / Ash</x:v>
      </x:c>
      <x:c r="J95" s="51" t="str">
        <x:v>Stunning, Nerve, Lightning, Thunder</x:v>
      </x:c>
      <x:c r="K95" s="51" t="str">
        <x:v>Stunning</x:v>
      </x:c>
      <x:c r="L95" s="51" t="str">
        <x:v>Required</x:v>
      </x:c>
      <x:c r="M95" s="51" t="str">
        <x:v>1 hour</x:v>
      </x:c>
      <x:c r="N95" s="51" t="str">
        <x:v>Coat one weapon or up to 20 pieces of ammunition. The next successful hit within 1 hour forces a Constitution saving throw; on a failed save, the target is Stunned for Until the end of the target's next turn.</x:v>
      </x:c>
      <x:c r="O95" s="51" t="str">
        <x:v>Bonus Action to use or apply</x:v>
      </x:c>
      <x:c r="P95" s="39" t="str">
        <x:v>oil_condition</x:v>
      </x:c>
    </x:row>
    <x:row r="96">
      <x:c r="A96" s="38" t="str">
        <x:v>Oils</x:v>
      </x:c>
      <x:c r="B96" s="51" t="str">
        <x:v>Elemental Oils</x:v>
      </x:c>
      <x:c r="C96" s="51" t="str">
        <x:v>Oil of Acid</x:v>
      </x:c>
      <x:c r="D96" s="51" t="str">
        <x:v>Uncommon</x:v>
      </x:c>
      <x:c r="E96" s="51" t="n">
        <x:v>22</x:v>
      </x:c>
      <x:c r="F96" s="51" t="str">
        <x:v>Sap / Resin</x:v>
      </x:c>
      <x:c r="G96" s="51" t="str">
        <x:v>Mineral / Salt / Ash</x:v>
      </x:c>
      <x:c r="H96" s="51" t="str">
        <x:v>Thorn / Bark / Wood</x:v>
      </x:c>
      <x:c r="I96" s="51" t="str">
        <x:v>Sap / Resin + Mineral / Salt / Ash + Thorn / Bark / Wood</x:v>
      </x:c>
      <x:c r="J96" s="51" t="str">
        <x:v>Acid</x:v>
      </x:c>
      <x:c r="K96" s="51" t="str">
        <x:v>Acid</x:v>
      </x:c>
      <x:c r="L96" s="51" t="str">
        <x:v>Required</x:v>
      </x:c>
      <x:c r="M96" s="51" t="str">
        <x:v>1 hour</x:v>
      </x:c>
      <x:c r="N96" s="51" t="str">
        <x:v>Coat one weapon or up to 20 pieces of ammunition. For 1 hour, a hit deals an extra 1d4 acid damage.</x:v>
      </x:c>
      <x:c r="O96" s="51" t="str">
        <x:v>Bonus Action to use or apply</x:v>
      </x:c>
      <x:c r="P96" s="39" t="str">
        <x:v>oil_elemental</x:v>
      </x:c>
    </x:row>
    <x:row r="97">
      <x:c r="A97" s="38" t="str">
        <x:v>Oils</x:v>
      </x:c>
      <x:c r="B97" s="51" t="str">
        <x:v>Elemental Oils</x:v>
      </x:c>
      <x:c r="C97" s="51" t="str">
        <x:v>Oil of Cold</x:v>
      </x:c>
      <x:c r="D97" s="51" t="str">
        <x:v>Uncommon</x:v>
      </x:c>
      <x:c r="E97" s="51" t="n">
        <x:v>22</x:v>
      </x:c>
      <x:c r="F97" s="51" t="str">
        <x:v>Sap / Resin</x:v>
      </x:c>
      <x:c r="G97" s="51" t="str">
        <x:v>Mineral / Salt / Ash</x:v>
      </x:c>
      <x:c r="H97" s="51" t="str">
        <x:v>Thorn / Bark / Wood</x:v>
      </x:c>
      <x:c r="I97" s="51" t="str">
        <x:v>Sap / Resin + Mineral / Salt / Ash + Thorn / Bark / Wood</x:v>
      </x:c>
      <x:c r="J97" s="51" t="str">
        <x:v>Cold</x:v>
      </x:c>
      <x:c r="K97" s="51" t="str">
        <x:v>Cold</x:v>
      </x:c>
      <x:c r="L97" s="51" t="str">
        <x:v>Required</x:v>
      </x:c>
      <x:c r="M97" s="51" t="str">
        <x:v>1 hour</x:v>
      </x:c>
      <x:c r="N97" s="51" t="str">
        <x:v>Coat one weapon or up to 20 pieces of ammunition. For 1 hour, a hit deals an extra 1d4 cold damage.</x:v>
      </x:c>
      <x:c r="O97" s="51" t="str">
        <x:v>Bonus Action to use or apply</x:v>
      </x:c>
      <x:c r="P97" s="39" t="str">
        <x:v>oil_elemental</x:v>
      </x:c>
    </x:row>
    <x:row r="98">
      <x:c r="A98" s="38" t="str">
        <x:v>Oils</x:v>
      </x:c>
      <x:c r="B98" s="51" t="str">
        <x:v>Elemental Oils</x:v>
      </x:c>
      <x:c r="C98" s="51" t="str">
        <x:v>Oil of Fire</x:v>
      </x:c>
      <x:c r="D98" s="51" t="str">
        <x:v>Uncommon</x:v>
      </x:c>
      <x:c r="E98" s="51" t="n">
        <x:v>22</x:v>
      </x:c>
      <x:c r="F98" s="51" t="str">
        <x:v>Sap / Resin</x:v>
      </x:c>
      <x:c r="G98" s="51" t="str">
        <x:v>Mineral / Salt / Ash</x:v>
      </x:c>
      <x:c r="H98" s="51" t="str">
        <x:v>Thorn / Bark / Wood</x:v>
      </x:c>
      <x:c r="I98" s="51" t="str">
        <x:v>Sap / Resin + Mineral / Salt / Ash + Thorn / Bark / Wood</x:v>
      </x:c>
      <x:c r="J98" s="51" t="str">
        <x:v>Fire</x:v>
      </x:c>
      <x:c r="K98" s="51" t="str">
        <x:v>Fire</x:v>
      </x:c>
      <x:c r="L98" s="51" t="str">
        <x:v>Required</x:v>
      </x:c>
      <x:c r="M98" s="51" t="str">
        <x:v>1 hour</x:v>
      </x:c>
      <x:c r="N98" s="51" t="str">
        <x:v>Coat one weapon or up to 20 pieces of ammunition. For 1 hour, a hit deals an extra 1d4 fire damage.</x:v>
      </x:c>
      <x:c r="O98" s="51" t="str">
        <x:v>Bonus Action to use or apply</x:v>
      </x:c>
      <x:c r="P98" s="39" t="str">
        <x:v>oil_elemental</x:v>
      </x:c>
    </x:row>
    <x:row r="99">
      <x:c r="A99" s="38" t="str">
        <x:v>Oils</x:v>
      </x:c>
      <x:c r="B99" s="51" t="str">
        <x:v>Elemental Oils</x:v>
      </x:c>
      <x:c r="C99" s="51" t="str">
        <x:v>Oil of Force</x:v>
      </x:c>
      <x:c r="D99" s="51" t="str">
        <x:v>Rare</x:v>
      </x:c>
      <x:c r="E99" s="51" t="n">
        <x:v>28</x:v>
      </x:c>
      <x:c r="F99" s="51" t="str">
        <x:v>Sap / Resin</x:v>
      </x:c>
      <x:c r="G99" s="51" t="str">
        <x:v>Mineral / Salt / Ash</x:v>
      </x:c>
      <x:c r="H99" s="51" t="str">
        <x:v>Thorn / Bark / Wood</x:v>
      </x:c>
      <x:c r="I99" s="51" t="str">
        <x:v>Sap / Resin + Mineral / Salt / Ash + Thorn / Bark / Wood</x:v>
      </x:c>
      <x:c r="J99" s="51" t="str">
        <x:v>Force</x:v>
      </x:c>
      <x:c r="K99" s="51" t="str">
        <x:v>Force</x:v>
      </x:c>
      <x:c r="L99" s="51" t="str">
        <x:v>Required</x:v>
      </x:c>
      <x:c r="M99" s="51" t="str">
        <x:v>1 hour</x:v>
      </x:c>
      <x:c r="N99" s="51" t="str">
        <x:v>Coat one weapon or up to 20 pieces of ammunition. For 1 hour, a hit deals an extra 1d6 force damage.</x:v>
      </x:c>
      <x:c r="O99" s="51" t="str">
        <x:v>Bonus Action to use or apply</x:v>
      </x:c>
      <x:c r="P99" s="39" t="str">
        <x:v>oil_elemental</x:v>
      </x:c>
    </x:row>
    <x:row r="100">
      <x:c r="A100" s="38" t="str">
        <x:v>Oils</x:v>
      </x:c>
      <x:c r="B100" s="51" t="str">
        <x:v>Elemental Oils</x:v>
      </x:c>
      <x:c r="C100" s="51" t="str">
        <x:v>Oil of Lightning</x:v>
      </x:c>
      <x:c r="D100" s="51" t="str">
        <x:v>Uncommon</x:v>
      </x:c>
      <x:c r="E100" s="51" t="n">
        <x:v>22</x:v>
      </x:c>
      <x:c r="F100" s="51" t="str">
        <x:v>Sap / Resin</x:v>
      </x:c>
      <x:c r="G100" s="51" t="str">
        <x:v>Mineral / Salt / Ash</x:v>
      </x:c>
      <x:c r="H100" s="51" t="str">
        <x:v>Thorn / Bark / Wood</x:v>
      </x:c>
      <x:c r="I100" s="51" t="str">
        <x:v>Sap / Resin + Mineral / Salt / Ash + Thorn / Bark / Wood</x:v>
      </x:c>
      <x:c r="J100" s="51" t="str">
        <x:v>Lightning</x:v>
      </x:c>
      <x:c r="K100" s="51" t="str">
        <x:v>Lightning</x:v>
      </x:c>
      <x:c r="L100" s="51" t="str">
        <x:v>Required</x:v>
      </x:c>
      <x:c r="M100" s="51" t="str">
        <x:v>1 hour</x:v>
      </x:c>
      <x:c r="N100" s="51" t="str">
        <x:v>Coat one weapon or up to 20 pieces of ammunition. For 1 hour, a hit deals an extra 1d4 lightning damage.</x:v>
      </x:c>
      <x:c r="O100" s="51" t="str">
        <x:v>Bonus Action to use or apply</x:v>
      </x:c>
      <x:c r="P100" s="39" t="str">
        <x:v>oil_elemental</x:v>
      </x:c>
    </x:row>
    <x:row r="101">
      <x:c r="A101" s="38" t="str">
        <x:v>Oils</x:v>
      </x:c>
      <x:c r="B101" s="51" t="str">
        <x:v>Elemental Oils</x:v>
      </x:c>
      <x:c r="C101" s="51" t="str">
        <x:v>Oil of Necrotic</x:v>
      </x:c>
      <x:c r="D101" s="51" t="str">
        <x:v>Rare</x:v>
      </x:c>
      <x:c r="E101" s="51" t="n">
        <x:v>28</x:v>
      </x:c>
      <x:c r="F101" s="51" t="str">
        <x:v>Sap / Resin</x:v>
      </x:c>
      <x:c r="G101" s="51" t="str">
        <x:v>Mineral / Salt / Ash</x:v>
      </x:c>
      <x:c r="H101" s="51" t="str">
        <x:v>Thorn / Bark / Wood</x:v>
      </x:c>
      <x:c r="I101" s="51" t="str">
        <x:v>Sap / Resin + Mineral / Salt / Ash + Thorn / Bark / Wood</x:v>
      </x:c>
      <x:c r="J101" s="51" t="str">
        <x:v>Necrotic</x:v>
      </x:c>
      <x:c r="K101" s="51" t="str">
        <x:v>Necrotic</x:v>
      </x:c>
      <x:c r="L101" s="51" t="str">
        <x:v>Required</x:v>
      </x:c>
      <x:c r="M101" s="51" t="str">
        <x:v>1 hour</x:v>
      </x:c>
      <x:c r="N101" s="51" t="str">
        <x:v>Coat one weapon or up to 20 pieces of ammunition. For 1 hour, a hit deals an extra 1d6 necrotic damage.</x:v>
      </x:c>
      <x:c r="O101" s="51" t="str">
        <x:v>Bonus Action to use or apply</x:v>
      </x:c>
      <x:c r="P101" s="39" t="str">
        <x:v>oil_elemental</x:v>
      </x:c>
    </x:row>
    <x:row r="102">
      <x:c r="A102" s="38" t="str">
        <x:v>Oils</x:v>
      </x:c>
      <x:c r="B102" s="51" t="str">
        <x:v>Elemental Oils</x:v>
      </x:c>
      <x:c r="C102" s="51" t="str">
        <x:v>Oil of Poison</x:v>
      </x:c>
      <x:c r="D102" s="51" t="str">
        <x:v>Uncommon</x:v>
      </x:c>
      <x:c r="E102" s="51" t="n">
        <x:v>22</x:v>
      </x:c>
      <x:c r="F102" s="51" t="str">
        <x:v>Sap / Resin</x:v>
      </x:c>
      <x:c r="G102" s="51" t="str">
        <x:v>Mineral / Salt / Ash</x:v>
      </x:c>
      <x:c r="H102" s="51" t="str">
        <x:v>Thorn / Bark / Wood</x:v>
      </x:c>
      <x:c r="I102" s="51" t="str">
        <x:v>Sap / Resin + Mineral / Salt / Ash + Thorn / Bark / Wood</x:v>
      </x:c>
      <x:c r="J102" s="51" t="str">
        <x:v>Poison</x:v>
      </x:c>
      <x:c r="K102" s="51" t="str">
        <x:v>Poison</x:v>
      </x:c>
      <x:c r="L102" s="51" t="str">
        <x:v>Required</x:v>
      </x:c>
      <x:c r="M102" s="51" t="str">
        <x:v>1 hour</x:v>
      </x:c>
      <x:c r="N102" s="51" t="str">
        <x:v>Coat one weapon or up to 20 pieces of ammunition. For 1 hour, a hit deals an extra 1d4 poison damage.</x:v>
      </x:c>
      <x:c r="O102" s="51" t="str">
        <x:v>Bonus Action to use or apply</x:v>
      </x:c>
      <x:c r="P102" s="39" t="str">
        <x:v>oil_elemental</x:v>
      </x:c>
    </x:row>
    <x:row r="103">
      <x:c r="A103" s="38" t="str">
        <x:v>Oils</x:v>
      </x:c>
      <x:c r="B103" s="51" t="str">
        <x:v>Elemental Oils</x:v>
      </x:c>
      <x:c r="C103" s="51" t="str">
        <x:v>Oil of Psychic</x:v>
      </x:c>
      <x:c r="D103" s="51" t="str">
        <x:v>Rare</x:v>
      </x:c>
      <x:c r="E103" s="51" t="n">
        <x:v>28</x:v>
      </x:c>
      <x:c r="F103" s="51" t="str">
        <x:v>Sap / Resin</x:v>
      </x:c>
      <x:c r="G103" s="51" t="str">
        <x:v>Mineral / Salt / Ash</x:v>
      </x:c>
      <x:c r="H103" s="51" t="str">
        <x:v>Thorn / Bark / Wood</x:v>
      </x:c>
      <x:c r="I103" s="51" t="str">
        <x:v>Sap / Resin + Mineral / Salt / Ash + Thorn / Bark / Wood</x:v>
      </x:c>
      <x:c r="J103" s="51" t="str">
        <x:v>Psychic</x:v>
      </x:c>
      <x:c r="K103" s="51" t="str">
        <x:v>Psychic</x:v>
      </x:c>
      <x:c r="L103" s="51" t="str">
        <x:v>Required</x:v>
      </x:c>
      <x:c r="M103" s="51" t="str">
        <x:v>1 hour</x:v>
      </x:c>
      <x:c r="N103" s="51" t="str">
        <x:v>Coat one weapon or up to 20 pieces of ammunition. For 1 hour, a hit deals an extra 1d6 psychic damage.</x:v>
      </x:c>
      <x:c r="O103" s="51" t="str">
        <x:v>Bonus Action to use or apply</x:v>
      </x:c>
      <x:c r="P103" s="39" t="str">
        <x:v>oil_elemental</x:v>
      </x:c>
    </x:row>
    <x:row r="104">
      <x:c r="A104" s="38" t="str">
        <x:v>Oils</x:v>
      </x:c>
      <x:c r="B104" s="51" t="str">
        <x:v>Elemental Oils</x:v>
      </x:c>
      <x:c r="C104" s="51" t="str">
        <x:v>Oil of Radiant</x:v>
      </x:c>
      <x:c r="D104" s="51" t="str">
        <x:v>Rare</x:v>
      </x:c>
      <x:c r="E104" s="51" t="n">
        <x:v>28</x:v>
      </x:c>
      <x:c r="F104" s="51" t="str">
        <x:v>Sap / Resin</x:v>
      </x:c>
      <x:c r="G104" s="51" t="str">
        <x:v>Mineral / Salt / Ash</x:v>
      </x:c>
      <x:c r="H104" s="51" t="str">
        <x:v>Thorn / Bark / Wood</x:v>
      </x:c>
      <x:c r="I104" s="51" t="str">
        <x:v>Sap / Resin + Mineral / Salt / Ash + Thorn / Bark / Wood</x:v>
      </x:c>
      <x:c r="J104" s="51" t="str">
        <x:v>Radiant</x:v>
      </x:c>
      <x:c r="K104" s="51" t="str">
        <x:v>Radiant</x:v>
      </x:c>
      <x:c r="L104" s="51" t="str">
        <x:v>Required</x:v>
      </x:c>
      <x:c r="M104" s="51" t="str">
        <x:v>1 hour</x:v>
      </x:c>
      <x:c r="N104" s="51" t="str">
        <x:v>Coat one weapon or up to 20 pieces of ammunition. For 1 hour, a hit deals an extra 1d6 radiant damage.</x:v>
      </x:c>
      <x:c r="O104" s="51" t="str">
        <x:v>Bonus Action to use or apply</x:v>
      </x:c>
      <x:c r="P104" s="39" t="str">
        <x:v>oil_elemental</x:v>
      </x:c>
    </x:row>
    <x:row r="105">
      <x:c r="A105" s="38" t="str">
        <x:v>Oils</x:v>
      </x:c>
      <x:c r="B105" s="51" t="str">
        <x:v>Elemental Oils</x:v>
      </x:c>
      <x:c r="C105" s="51" t="str">
        <x:v>Oil of Thunder</x:v>
      </x:c>
      <x:c r="D105" s="51" t="str">
        <x:v>Uncommon</x:v>
      </x:c>
      <x:c r="E105" s="51" t="n">
        <x:v>22</x:v>
      </x:c>
      <x:c r="F105" s="51" t="str">
        <x:v>Sap / Resin</x:v>
      </x:c>
      <x:c r="G105" s="51" t="str">
        <x:v>Mineral / Salt / Ash</x:v>
      </x:c>
      <x:c r="H105" s="51" t="str">
        <x:v>Thorn / Bark / Wood</x:v>
      </x:c>
      <x:c r="I105" s="51" t="str">
        <x:v>Sap / Resin + Mineral / Salt / Ash + Thorn / Bark / Wood</x:v>
      </x:c>
      <x:c r="J105" s="51" t="str">
        <x:v>Thunder</x:v>
      </x:c>
      <x:c r="K105" s="51" t="str">
        <x:v>Thunder</x:v>
      </x:c>
      <x:c r="L105" s="51" t="str">
        <x:v>Required</x:v>
      </x:c>
      <x:c r="M105" s="51" t="str">
        <x:v>1 hour</x:v>
      </x:c>
      <x:c r="N105" s="51" t="str">
        <x:v>Coat one weapon or up to 20 pieces of ammunition. For 1 hour, a hit deals an extra 1d4 thunder damage.</x:v>
      </x:c>
      <x:c r="O105" s="51" t="str">
        <x:v>Bonus Action to use or apply</x:v>
      </x:c>
      <x:c r="P105" s="39" t="str">
        <x:v>oil_elemental</x:v>
      </x:c>
    </x:row>
    <x:row r="106">
      <x:c r="A106" s="38" t="str">
        <x:v>Oils</x:v>
      </x:c>
      <x:c r="B106" s="51" t="str">
        <x:v>Utility Oils</x:v>
      </x:c>
      <x:c r="C106" s="51" t="str">
        <x:v>Oil of Etherealness</x:v>
      </x:c>
      <x:c r="D106" s="51" t="str">
        <x:v>Very Rare</x:v>
      </x:c>
      <x:c r="E106" s="51" t="n">
        <x:v>34</x:v>
      </x:c>
      <x:c r="F106" s="51" t="str">
        <x:v>Sap / Resin</x:v>
      </x:c>
      <x:c r="G106" s="51" t="str">
        <x:v>Mineral / Salt / Ash</x:v>
      </x:c>
      <x:c r="H106" s="51" t="str">
        <x:v>Flower</x:v>
      </x:c>
      <x:c r="I106" s="51" t="str">
        <x:v>Sap / Resin + Mineral / Salt / Ash + Flower</x:v>
      </x:c>
      <x:c r="J106" s="51" t="str"/>
      <x:c r="K106" s="51" t="str"/>
      <x:c r="L106" s="51" t="str">
        <x:v>Required</x:v>
      </x:c>
      <x:c r="M106" s="51" t="str">
        <x:v>1 hour</x:v>
      </x:c>
      <x:c r="N106" s="51" t="str">
        <x:v>One vial can cover one Medium or smaller creature and grants the effect of Etherealness.</x:v>
      </x:c>
      <x:c r="O106" s="51" t="str">
        <x:v>Bonus Action to use or apply</x:v>
      </x:c>
      <x:c r="P106" s="39" t="str">
        <x:v>oil-of-etherealness</x:v>
      </x:c>
    </x:row>
    <x:row r="107">
      <x:c r="A107" s="40" t="str">
        <x:v>Oils</x:v>
      </x:c>
      <x:c r="B107" s="52" t="str">
        <x:v>Utility Oils</x:v>
      </x:c>
      <x:c r="C107" s="52" t="str">
        <x:v>Oil of Sharpness</x:v>
      </x:c>
      <x:c r="D107" s="52" t="str">
        <x:v>Very Rare</x:v>
      </x:c>
      <x:c r="E107" s="52" t="n">
        <x:v>34</x:v>
      </x:c>
      <x:c r="F107" s="52" t="str">
        <x:v>Sap / Resin</x:v>
      </x:c>
      <x:c r="G107" s="52" t="str">
        <x:v>Thorn / Bark / Wood</x:v>
      </x:c>
      <x:c r="H107" s="52" t="str">
        <x:v>Mineral / Salt / Ash</x:v>
      </x:c>
      <x:c r="I107" s="52" t="str">
        <x:v>Sap / Resin + Thorn / Bark / Wood + Mineral / Salt / Ash</x:v>
      </x:c>
      <x:c r="J107" s="52" t="str"/>
      <x:c r="K107" s="52" t="str"/>
      <x:c r="L107" s="52" t="str">
        <x:v>Optional</x:v>
      </x:c>
      <x:c r="M107" s="52" t="str">
        <x:v>1 hour</x:v>
      </x:c>
      <x:c r="N107" s="52" t="str">
        <x:v>A coated slashing or piercing weapon or ammunition gains a temporary bonus to attack and damage rolls by DM ruling.</x:v>
      </x:c>
      <x:c r="O107" s="52" t="str">
        <x:v>Bonus Action to use or apply</x:v>
      </x:c>
      <x:c r="P107" s="41" t="str">
        <x:v>oil-of-sharpness</x:v>
      </x:c>
    </x:row>
  </x:sheetData>
  <x:conditionalFormatting sqref="A2:A107">
    <x:cfRule type="expression" dxfId="5" priority="1">
      <x:formula>A2="Potions"</x:formula>
    </x:cfRule>
    <x:cfRule type="expression" dxfId="6" priority="2">
      <x:formula>A2="Poisons"</x:formula>
    </x:cfRule>
    <x:cfRule type="expression" dxfId="7" priority="3">
      <x:formula>A2="Bombs"</x:formula>
    </x:cfRule>
    <x:cfRule type="expression" dxfId="8" priority="4">
      <x:formula>A2="Elixirs"</x:formula>
    </x:cfRule>
    <x:cfRule type="expression" dxfId="9" priority="5">
      <x:formula>A2="Oils"</x:formula>
    </x:cfRule>
  </x:conditionalFormatting>
  <x:conditionalFormatting sqref="D2:D107">
    <x:cfRule type="expression" dxfId="10" priority="6">
      <x:formula>D2="Common"</x:formula>
    </x:cfRule>
    <x:cfRule type="expression" dxfId="11" priority="7">
      <x:formula>D2="Uncommon"</x:formula>
    </x:cfRule>
    <x:cfRule type="expression" dxfId="12" priority="8">
      <x:formula>D2="Rare"</x:formula>
    </x:cfRule>
    <x:cfRule type="expression" dxfId="13" priority="9">
      <x:formula>D2="Very Rare"</x:formula>
    </x:cfRule>
    <x:cfRule type="expression" dxfId="14" priority="10">
      <x:formula>D2="Legendary"</x:formula>
    </x:cfRule>
  </x:conditionalFormatting>
  <x:pageMargins left="0.7" right="0.7" top="0.75" bottom="0.75" header="0.3" footer="0.3"/>
  <x:tableParts count="1">
    <x:tablePart xmlns:r="http://schemas.openxmlformats.org/officeDocument/2006/relationships" r:id="Rde4b133ec34b452b"/>
  </x:tableParts>
</x:worksheet>
</file>

<file path=xl/worksheets/sheet4.xml><?xml version="1.0" encoding="utf-8"?>
<x:worksheet xmlns:x="http://schemas.openxmlformats.org/spreadsheetml/2006/main">
  <x:sheetFormatPr defaultRowHeight="15"/>
  <x:cols>
    <x:col min="1" max="1" width="18" hidden="0" customWidth="1"/>
    <x:col min="2" max="2" width="65" hidden="0" customWidth="1"/>
    <x:col min="3" max="3" width="36" hidden="0" customWidth="1"/>
    <x:col min="4" max="4" width="36" hidden="0" customWidth="1"/>
    <x:col min="5" max="5" width="48" hidden="0" customWidth="1"/>
    <x:col min="6" max="6" width="48" hidden="0" customWidth="1"/>
  </x:cols>
  <x:sheetData>
    <x:row r="1">
      <x:c r="A1" s="26" t="str">
        <x:v>Tag</x:v>
      </x:c>
      <x:c r="B1" s="46" t="str">
        <x:v>Compatible Ingredients</x:v>
      </x:c>
      <x:c r="C1" s="46" t="str">
        <x:v>Resistance Elixirs</x:v>
      </x:c>
      <x:c r="D1" s="46" t="str">
        <x:v>Immunity Elixirs</x:v>
      </x:c>
      <x:c r="E1" s="46" t="str">
        <x:v>Bombs</x:v>
      </x:c>
      <x:c r="F1" s="27" t="str">
        <x:v>Oils</x:v>
      </x:c>
    </x:row>
    <x:row r="2">
      <x:c r="A2" s="38" t="str">
        <x:v>Acid</x:v>
      </x:c>
      <x:c r="B2" s="51" t="str">
        <x:v>Acid Gland, Acidic Essence, Corrosive Motes</x:v>
      </x:c>
      <x:c r="C2" s="51" t="str">
        <x:v>Elixir of Acid Resistance</x:v>
      </x:c>
      <x:c r="D2" s="51" t="str"/>
      <x:c r="E2" s="51" t="str">
        <x:v>Bomb of Acid</x:v>
      </x:c>
      <x:c r="F2" s="39" t="str">
        <x:v>Oil of Acid</x:v>
      </x:c>
    </x:row>
    <x:row r="3">
      <x:c r="A3" s="38" t="str">
        <x:v>Binding</x:v>
      </x:c>
      <x:c r="B3" s="51" t="str">
        <x:v>Binding Agent, Binding Essence, Ettercap Resin Gland, Mirrorgum, Oathroot</x:v>
      </x:c>
      <x:c r="C3" s="51" t="str"/>
      <x:c r="D3" s="51" t="str">
        <x:v>Elixir of Restraint Immunity</x:v>
      </x:c>
      <x:c r="E3" s="51" t="str">
        <x:v>Bomb of Restraint</x:v>
      </x:c>
      <x:c r="F3" s="39" t="str">
        <x:v>Oil of Restraint</x:v>
      </x:c>
    </x:row>
    <x:row r="4">
      <x:c r="A4" s="38" t="str">
        <x:v>Blindness</x:v>
      </x:c>
      <x:c r="B4" s="51" t="str">
        <x:v>Clear-Eye Distillate, Crownthorn Knot, Eye-Dimming Motes, Eyeless Moth Dust</x:v>
      </x:c>
      <x:c r="C4" s="51" t="str"/>
      <x:c r="D4" s="51" t="str">
        <x:v>Elixir of Blindness Immunity</x:v>
      </x:c>
      <x:c r="E4" s="51" t="str">
        <x:v>Bomb of Blindness</x:v>
      </x:c>
      <x:c r="F4" s="39" t="str">
        <x:v>Oil of Blindness</x:v>
      </x:c>
    </x:row>
    <x:row r="5">
      <x:c r="A5" s="38" t="str">
        <x:v>Charm</x:v>
      </x:c>
      <x:c r="B5" s="51" t="str">
        <x:v>Charm Gland, Fey Orchid, Heartward Counteragent, Siren Gland Extract</x:v>
      </x:c>
      <x:c r="C5" s="51" t="str"/>
      <x:c r="D5" s="51" t="str">
        <x:v>Elixir of Charm Immunity</x:v>
      </x:c>
      <x:c r="E5" s="51" t="str">
        <x:v>Bomb of Charm</x:v>
      </x:c>
      <x:c r="F5" s="39" t="str">
        <x:v>Oil of Charm</x:v>
      </x:c>
    </x:row>
    <x:row r="6">
      <x:c r="A6" s="38" t="str">
        <x:v>Cold</x:v>
      </x:c>
      <x:c r="B6" s="51" t="str">
        <x:v>Frost Essence, Frost Motes, Frostcoil Root, Frostlace Lichen, Ice Gland</x:v>
      </x:c>
      <x:c r="C6" s="51" t="str">
        <x:v>Elixir of Cold Resistance</x:v>
      </x:c>
      <x:c r="D6" s="51" t="str"/>
      <x:c r="E6" s="51" t="str">
        <x:v>Bomb of Cold</x:v>
      </x:c>
      <x:c r="F6" s="39" t="str">
        <x:v>Oil of Cold</x:v>
      </x:c>
    </x:row>
    <x:row r="7">
      <x:c r="A7" s="38" t="str">
        <x:v>Confusion</x:v>
      </x:c>
      <x:c r="B7" s="51" t="str">
        <x:v>Aboleth Mucus, Confusion Motes, Dreamspore Morel, Kaorti Ichor, Mind Motes, Mindanchor Tincture, Mindshard Distillate, Psychic Gland</x:v>
      </x:c>
      <x:c r="C7" s="51" t="str"/>
      <x:c r="D7" s="51" t="str">
        <x:v>Elixir of Confusion Immunity</x:v>
      </x:c>
      <x:c r="E7" s="51" t="str">
        <x:v>Bomb of Confusion</x:v>
      </x:c>
      <x:c r="F7" s="39" t="str">
        <x:v>Oil of Confusion</x:v>
      </x:c>
    </x:row>
    <x:row r="8">
      <x:c r="A8" s="38" t="str">
        <x:v>Deafness</x:v>
      </x:c>
      <x:c r="B8" s="51" t="str">
        <x:v>Echo Crystal Dust, Echo Gland, Resonant Motes, Thunder Gland</x:v>
      </x:c>
      <x:c r="C8" s="51" t="str"/>
      <x:c r="D8" s="51" t="str">
        <x:v>Elixir of Deafness Immunity</x:v>
      </x:c>
      <x:c r="E8" s="51" t="str">
        <x:v>Bomb of Deafness</x:v>
      </x:c>
      <x:c r="F8" s="39" t="str">
        <x:v>Oil of Deafness</x:v>
      </x:c>
    </x:row>
    <x:row r="9">
      <x:c r="A9" s="38" t="str">
        <x:v>Death</x:v>
      </x:c>
      <x:c r="B9" s="51" t="str">
        <x:v>Grave Ash, Grave Essence, Necrotic Essence</x:v>
      </x:c>
      <x:c r="C9" s="51" t="str"/>
      <x:c r="D9" s="51" t="str"/>
      <x:c r="E9" s="51" t="str"/>
      <x:c r="F9" s="39" t="str"/>
    </x:row>
    <x:row r="10">
      <x:c r="A10" s="38" t="str">
        <x:v>Dragon</x:v>
      </x:c>
      <x:c r="B10" s="51" t="str">
        <x:v>Dragon Gland</x:v>
      </x:c>
      <x:c r="C10" s="51" t="str"/>
      <x:c r="D10" s="51" t="str"/>
      <x:c r="E10" s="51" t="str"/>
      <x:c r="F10" s="39" t="str"/>
    </x:row>
    <x:row r="11">
      <x:c r="A11" s="38" t="str">
        <x:v>Fear</x:v>
      </x:c>
      <x:c r="B11" s="51" t="str">
        <x:v>Demonic Blood, Dread Essence, Dreadcap Spore Cluster, Dreamwatch Lichen, Lionheart Catalyst</x:v>
      </x:c>
      <x:c r="C11" s="51" t="str"/>
      <x:c r="D11" s="51" t="str">
        <x:v>Elixir of Fear Immunity</x:v>
      </x:c>
      <x:c r="E11" s="51" t="str">
        <x:v>Bomb of Fear</x:v>
      </x:c>
      <x:c r="F11" s="39" t="str">
        <x:v>Oil of Fear</x:v>
      </x:c>
    </x:row>
    <x:row r="12">
      <x:c r="A12" s="38" t="str">
        <x:v>Fey</x:v>
      </x:c>
      <x:c r="B12" s="51" t="str">
        <x:v>Charm Gland, Fey Orchid</x:v>
      </x:c>
      <x:c r="C12" s="51" t="str"/>
      <x:c r="D12" s="51" t="str">
        <x:v>Elixir of Charm Immunity</x:v>
      </x:c>
      <x:c r="E12" s="51" t="str">
        <x:v>Bomb of Charm</x:v>
      </x:c>
      <x:c r="F12" s="39" t="str">
        <x:v>Oil of Charm</x:v>
      </x:c>
    </x:row>
    <x:row r="13">
      <x:c r="A13" s="38" t="str">
        <x:v>Fire</x:v>
      </x:c>
      <x:c r="B13" s="51" t="str">
        <x:v>Demonic Blood, Dragon Gland, Ember Motes, Embergill Mushroom, Emberwood Curl, Fire Essence, Fire Gland</x:v>
      </x:c>
      <x:c r="C13" s="51" t="str">
        <x:v>Elixir of Fire Resistance</x:v>
      </x:c>
      <x:c r="D13" s="51" t="str"/>
      <x:c r="E13" s="51" t="str">
        <x:v>Bomb of Fire</x:v>
      </x:c>
      <x:c r="F13" s="39" t="str">
        <x:v>Oil of Fire</x:v>
      </x:c>
    </x:row>
    <x:row r="14">
      <x:c r="A14" s="38" t="str">
        <x:v>Force</x:v>
      </x:c>
      <x:c r="B14" s="51" t="str">
        <x:v>Force Gland, Force Motes, Force Shard, Phase Residue, Prismatic Ash</x:v>
      </x:c>
      <x:c r="C14" s="51" t="str">
        <x:v>Elixir of Force Resistance</x:v>
      </x:c>
      <x:c r="D14" s="51" t="str"/>
      <x:c r="E14" s="51" t="str">
        <x:v>Bomb of Force</x:v>
      </x:c>
      <x:c r="F14" s="39" t="str">
        <x:v>Oil of Force</x:v>
      </x:c>
    </x:row>
    <x:row r="15">
      <x:c r="A15" s="38" t="str">
        <x:v>Holy</x:v>
      </x:c>
      <x:c r="B15" s="51" t="str">
        <x:v>Celestial Blood, Halo Lily, Radiant Essence, Radiant Motes</x:v>
      </x:c>
      <x:c r="C15" s="51" t="str"/>
      <x:c r="D15" s="51" t="str"/>
      <x:c r="E15" s="51" t="str"/>
      <x:c r="F15" s="39" t="str"/>
    </x:row>
    <x:row r="16">
      <x:c r="A16" s="38" t="str">
        <x:v>Infernal</x:v>
      </x:c>
      <x:c r="B16" s="51" t="str">
        <x:v>Demonic Blood</x:v>
      </x:c>
      <x:c r="C16" s="51" t="str"/>
      <x:c r="D16" s="51" t="str"/>
      <x:c r="E16" s="51" t="str"/>
      <x:c r="F16" s="39" t="str"/>
    </x:row>
    <x:row r="17">
      <x:c r="A17" s="38" t="str">
        <x:v>Lightning</x:v>
      </x:c>
      <x:c r="B17" s="51" t="str">
        <x:v>Lightning Gland, Shock Eel Cerebrum, Storm Essence, Storm Motes, Stormrunner Fern, Stunning Gland</x:v>
      </x:c>
      <x:c r="C17" s="51" t="str">
        <x:v>Elixir of Lightning Resistance</x:v>
      </x:c>
      <x:c r="D17" s="51" t="str">
        <x:v>Elixir of Stunning Immunity</x:v>
      </x:c>
      <x:c r="E17" s="51" t="str">
        <x:v>Bomb of Lightning, Bomb of Stunning</x:v>
      </x:c>
      <x:c r="F17" s="39" t="str">
        <x:v>Oil of Lightning, Oil of Stunning</x:v>
      </x:c>
    </x:row>
    <x:row r="18">
      <x:c r="A18" s="38" t="str">
        <x:v>Mind</x:v>
      </x:c>
      <x:c r="B18" s="51" t="str">
        <x:v>Aboleth Mucus, Charm Gland, Confusion Motes, Dread Essence, Dreadcap Spore Cluster, Dreamspore Morel, Dreamwatch Lichen, Fey Orchid, Mind Motes, Mindshard Distillate, Psychic Essence, Psychic Gland, Siren Gland Extract</x:v>
      </x:c>
      <x:c r="C18" s="51" t="str"/>
      <x:c r="D18" s="51" t="str">
        <x:v>Elixir of Charm Immunity, Elixir of Confusion Immunity, Elixir of Fear Immunity</x:v>
      </x:c>
      <x:c r="E18" s="51" t="str">
        <x:v>Bomb of Charm, Bomb of Confusion, Bomb of Fear</x:v>
      </x:c>
      <x:c r="F18" s="39" t="str">
        <x:v>Oil of Charm, Oil of Confusion, Oil of Fear</x:v>
      </x:c>
    </x:row>
    <x:row r="19">
      <x:c r="A19" s="38" t="str">
        <x:v>Necrotic</x:v>
      </x:c>
      <x:c r="B19" s="51" t="str">
        <x:v>Demonic Blood, Grave Ash, Grave Essence, Necrotic Essence</x:v>
      </x:c>
      <x:c r="C19" s="51" t="str">
        <x:v>Elixir of Necrotic Resistance</x:v>
      </x:c>
      <x:c r="D19" s="51" t="str"/>
      <x:c r="E19" s="51" t="str">
        <x:v>Bomb of Necrotic</x:v>
      </x:c>
      <x:c r="F19" s="39" t="str">
        <x:v>Oil of Necrotic</x:v>
      </x:c>
    </x:row>
    <x:row r="20">
      <x:c r="A20" s="38" t="str">
        <x:v>Nerve</x:v>
      </x:c>
      <x:c r="B20" s="51" t="str">
        <x:v>Ghoul Ichor, Nerve Gland, Oathroot, Shock Eel Cerebrum, Stunning Gland</x:v>
      </x:c>
      <x:c r="C20" s="51" t="str"/>
      <x:c r="D20" s="51" t="str">
        <x:v>Elixir of Paralysis Immunity, Elixir of Stunning Immunity</x:v>
      </x:c>
      <x:c r="E20" s="51" t="str">
        <x:v>Bomb of Paralysis, Bomb of Stunning</x:v>
      </x:c>
      <x:c r="F20" s="39" t="str">
        <x:v>Oil of Paralysis, Oil of Stunning</x:v>
      </x:c>
    </x:row>
    <x:row r="21">
      <x:c r="A21" s="38" t="str">
        <x:v>Paralysis</x:v>
      </x:c>
      <x:c r="B21" s="51" t="str">
        <x:v>Ghoul Ichor, Nerve Gland, Nervewake Serum, Nightfang Cap, Oathroot</x:v>
      </x:c>
      <x:c r="C21" s="51" t="str"/>
      <x:c r="D21" s="51" t="str">
        <x:v>Elixir of Paralysis Immunity</x:v>
      </x:c>
      <x:c r="E21" s="51" t="str">
        <x:v>Bomb of Paralysis</x:v>
      </x:c>
      <x:c r="F21" s="39" t="str">
        <x:v>Oil of Paralysis</x:v>
      </x:c>
    </x:row>
    <x:row r="22">
      <x:c r="A22" s="38" t="str">
        <x:v>Petrification</x:v>
      </x:c>
      <x:c r="B22" s="51" t="str">
        <x:v>Basilisk Bile, Medusa Orchid, Petrifying Blood, Starfall Salt, Stonebreaker Solvent</x:v>
      </x:c>
      <x:c r="C22" s="51" t="str"/>
      <x:c r="D22" s="51" t="str">
        <x:v>Elixir of Petrification Immunity</x:v>
      </x:c>
      <x:c r="E22" s="51" t="str">
        <x:v>Bomb of Petrification</x:v>
      </x:c>
      <x:c r="F22" s="39" t="str">
        <x:v>Oil of Petrification</x:v>
      </x:c>
    </x:row>
    <x:row r="23">
      <x:c r="A23" s="38" t="str">
        <x:v>Phase</x:v>
      </x:c>
      <x:c r="B23" s="51" t="str">
        <x:v>Phase Residue</x:v>
      </x:c>
      <x:c r="C23" s="51" t="str"/>
      <x:c r="D23" s="51" t="str"/>
      <x:c r="E23" s="51" t="str"/>
      <x:c r="F23" s="39" t="str"/>
    </x:row>
    <x:row r="24">
      <x:c r="A24" s="38" t="str">
        <x:v>Phase Displacement</x:v>
      </x:c>
      <x:c r="B24" s="51" t="str">
        <x:v>Phase Residue</x:v>
      </x:c>
      <x:c r="C24" s="51" t="str"/>
      <x:c r="D24" s="51" t="str"/>
      <x:c r="E24" s="51" t="str"/>
      <x:c r="F24" s="39" t="str"/>
    </x:row>
    <x:row r="25">
      <x:c r="A25" s="38" t="str">
        <x:v>Poison</x:v>
      </x:c>
      <x:c r="B25" s="51" t="str">
        <x:v>Carrion Spore Sac, Nightfang Cap, Poison Gland, Purity Counteragent, Toxic Motes, Wyvern Venom</x:v>
      </x:c>
      <x:c r="C25" s="51" t="str">
        <x:v>Elixir of Poison Resistance</x:v>
      </x:c>
      <x:c r="D25" s="51" t="str">
        <x:v>Elixir of Poison Immunity</x:v>
      </x:c>
      <x:c r="E25" s="51" t="str">
        <x:v>Bomb of Poison, Bomb of Poisoning</x:v>
      </x:c>
      <x:c r="F25" s="39" t="str">
        <x:v>Oil of Poison, Oil of Poisoning</x:v>
      </x:c>
    </x:row>
    <x:row r="26">
      <x:c r="A26" s="38" t="str">
        <x:v>Psychic</x:v>
      </x:c>
      <x:c r="B26" s="51" t="str">
        <x:v>Aboleth Mucus, Confusion Motes, Dreamspore Morel, Dreamwatch Lichen, Kaorti Ichor, Mind Motes, Mindshard Distillate, Psychic Essence, Psychic Gland</x:v>
      </x:c>
      <x:c r="C26" s="51" t="str">
        <x:v>Elixir of Psychic Resistance</x:v>
      </x:c>
      <x:c r="D26" s="51" t="str">
        <x:v>Elixir of Charm Immunity, Elixir of Confusion Immunity, Elixir of Fear Immunity</x:v>
      </x:c>
      <x:c r="E26" s="51" t="str">
        <x:v>Bomb of Charm, Bomb of Confusion, Bomb of Fear, Bomb of Psychic</x:v>
      </x:c>
      <x:c r="F26" s="39" t="str">
        <x:v>Oil of Charm, Oil of Confusion, Oil of Fear, Oil of Psychic</x:v>
      </x:c>
    </x:row>
    <x:row r="27">
      <x:c r="A27" s="38" t="str">
        <x:v>Radiant</x:v>
      </x:c>
      <x:c r="B27" s="51" t="str">
        <x:v>Celestial Blood, Halo Lily, Prismatic Ash, Radiant Essence, Radiant Motes</x:v>
      </x:c>
      <x:c r="C27" s="51" t="str">
        <x:v>Elixir of Radiant Resistance</x:v>
      </x:c>
      <x:c r="D27" s="51" t="str"/>
      <x:c r="E27" s="51" t="str">
        <x:v>Bomb of Radiant</x:v>
      </x:c>
      <x:c r="F27" s="39" t="str">
        <x:v>Oil of Radiant</x:v>
      </x:c>
    </x:row>
    <x:row r="28">
      <x:c r="A28" s="38" t="str">
        <x:v>Regeneration</x:v>
      </x:c>
      <x:c r="B28" s="51" t="str">
        <x:v>Troll Blood</x:v>
      </x:c>
      <x:c r="C28" s="51" t="str"/>
      <x:c r="D28" s="51" t="str"/>
      <x:c r="E28" s="51" t="str"/>
      <x:c r="F28" s="39" t="str"/>
    </x:row>
    <x:row r="29">
      <x:c r="A29" s="38" t="str">
        <x:v>Restraint</x:v>
      </x:c>
      <x:c r="B29" s="51" t="str">
        <x:v>Binding Agent, Binding Essence, Ettercap Resin Gland, Freedom Resin, Mirrorgum</x:v>
      </x:c>
      <x:c r="C29" s="51" t="str"/>
      <x:c r="D29" s="51" t="str">
        <x:v>Elixir of Restraint Immunity</x:v>
      </x:c>
      <x:c r="E29" s="51" t="str">
        <x:v>Bomb of Restraint</x:v>
      </x:c>
      <x:c r="F29" s="39" t="str">
        <x:v>Oil of Restraint</x:v>
      </x:c>
    </x:row>
    <x:row r="30">
      <x:c r="A30" s="38" t="str">
        <x:v>Sight</x:v>
      </x:c>
      <x:c r="B30" s="51" t="str">
        <x:v>Crownthorn Knot, Eye-Dimming Motes, Eyeless Moth Dust</x:v>
      </x:c>
      <x:c r="C30" s="51" t="str"/>
      <x:c r="D30" s="51" t="str">
        <x:v>Elixir of Blindness Immunity</x:v>
      </x:c>
      <x:c r="E30" s="51" t="str">
        <x:v>Bomb of Blindness</x:v>
      </x:c>
      <x:c r="F30" s="39" t="str">
        <x:v>Oil of Blindness</x:v>
      </x:c>
    </x:row>
    <x:row r="31">
      <x:c r="A31" s="38" t="str">
        <x:v>Sound</x:v>
      </x:c>
      <x:c r="B31" s="51" t="str">
        <x:v>Echo Crystal Dust, Echo Gland, Resonant Motes, Thunder Gland, Thunderbell Blossom</x:v>
      </x:c>
      <x:c r="C31" s="51" t="str"/>
      <x:c r="D31" s="51" t="str">
        <x:v>Elixir of Deafness Immunity</x:v>
      </x:c>
      <x:c r="E31" s="51" t="str">
        <x:v>Bomb of Deafness</x:v>
      </x:c>
      <x:c r="F31" s="39" t="str">
        <x:v>Oil of Deafness</x:v>
      </x:c>
    </x:row>
    <x:row r="32">
      <x:c r="A32" s="38" t="str">
        <x:v>Stone</x:v>
      </x:c>
      <x:c r="B32" s="51" t="str">
        <x:v>Basilisk Bile, Medusa Orchid, Petrifying Blood, Starfall Salt</x:v>
      </x:c>
      <x:c r="C32" s="51" t="str"/>
      <x:c r="D32" s="51" t="str">
        <x:v>Elixir of Petrification Immunity</x:v>
      </x:c>
      <x:c r="E32" s="51" t="str">
        <x:v>Bomb of Petrification</x:v>
      </x:c>
      <x:c r="F32" s="39" t="str">
        <x:v>Oil of Petrification</x:v>
      </x:c>
    </x:row>
    <x:row r="33">
      <x:c r="A33" s="38" t="str">
        <x:v>Stunning</x:v>
      </x:c>
      <x:c r="B33" s="51" t="str">
        <x:v>Lightning Gland, Shock Eel Cerebrum, Stormground Serum, Stormrunner Fern, Stunning Gland</x:v>
      </x:c>
      <x:c r="C33" s="51" t="str"/>
      <x:c r="D33" s="51" t="str">
        <x:v>Elixir of Stunning Immunity</x:v>
      </x:c>
      <x:c r="E33" s="51" t="str">
        <x:v>Bomb of Stunning</x:v>
      </x:c>
      <x:c r="F33" s="39" t="str">
        <x:v>Oil of Stunning</x:v>
      </x:c>
    </x:row>
    <x:row r="34">
      <x:c r="A34" s="38" t="str">
        <x:v>Thunder</x:v>
      </x:c>
      <x:c r="B34" s="51" t="str">
        <x:v>Echo Crystal Dust, Resonant Motes, Storm Essence, Storm Motes, Stormrunner Fern, Stunning Gland, Thunder Gland, Thunderbell Blossom</x:v>
      </x:c>
      <x:c r="C34" s="51" t="str">
        <x:v>Elixir of Thunder Resistance</x:v>
      </x:c>
      <x:c r="D34" s="51" t="str">
        <x:v>Elixir of Deafness Immunity, Elixir of Stunning Immunity</x:v>
      </x:c>
      <x:c r="E34" s="51" t="str">
        <x:v>Bomb of Deafness, Bomb of Stunning, Bomb of Thunder</x:v>
      </x:c>
      <x:c r="F34" s="39" t="str">
        <x:v>Oil of Deafness, Oil of Stunning, Oil of Thunder</x:v>
      </x:c>
    </x:row>
    <x:row r="35">
      <x:c r="A35" s="38" t="str">
        <x:v>Venom</x:v>
      </x:c>
      <x:c r="B35" s="51" t="str">
        <x:v>Carrion Spore Sac, Nightfang Cap, Poison Gland, Toxic Motes, Wyvern Venom</x:v>
      </x:c>
      <x:c r="C35" s="51" t="str"/>
      <x:c r="D35" s="51" t="str">
        <x:v>Elixir of Poison Immunity</x:v>
      </x:c>
      <x:c r="E35" s="51" t="str">
        <x:v>Bomb of Poisoning</x:v>
      </x:c>
      <x:c r="F35" s="39" t="str">
        <x:v>Oil of Poisoning</x:v>
      </x:c>
    </x:row>
    <x:row r="36">
      <x:c r="A36" s="40" t="str">
        <x:v>Vitality</x:v>
      </x:c>
      <x:c r="B36" s="52" t="str">
        <x:v>Troll Blood</x:v>
      </x:c>
      <x:c r="C36" s="52" t="str"/>
      <x:c r="D36" s="52" t="str"/>
      <x:c r="E36" s="52" t="str"/>
      <x:c r="F36" s="41" t="str"/>
    </x:row>
  </x:sheetData>
  <x:pageMargins left="0.7" right="0.7" top="0.75" bottom="0.75" header="0.3" footer="0.3"/>
  <x:tableParts count="1">
    <x:tablePart xmlns:r="http://schemas.openxmlformats.org/officeDocument/2006/relationships" r:id="R2e40ddce831b40a4"/>
  </x:tableParts>
</x:worksheet>
</file>

<file path=xl/worksheets/sheet5.xml><?xml version="1.0" encoding="utf-8"?>
<x:worksheet xmlns:x="http://schemas.openxmlformats.org/spreadsheetml/2006/main">
  <x:sheetFormatPr defaultRowHeight="15"/>
  <x:cols>
    <x:col min="1" max="1" width="28" hidden="0" customWidth="1"/>
    <x:col min="2" max="2" width="25" hidden="0" customWidth="1"/>
    <x:col min="3" max="3" width="72" hidden="0" customWidth="1"/>
    <x:col min="4" max="4" width="48" hidden="0" customWidth="1"/>
    <x:col min="5" max="5" width="60" hidden="0" customWidth="1"/>
    <x:col min="6" max="6" width="48" hidden="0" customWidth="1"/>
    <x:col min="7" max="7" width="14" hidden="0" customWidth="1"/>
    <x:col min="8" max="8" width="60" hidden="0" customWidth="1"/>
  </x:cols>
  <x:sheetData>
    <x:row r="1">
      <x:c r="A1" s="26" t="str">
        <x:v>Shared Template</x:v>
      </x:c>
      <x:c r="B1" s="46" t="str">
        <x:v>Visible Recipe Group</x:v>
      </x:c>
      <x:c r="C1" s="46" t="str">
        <x:v>Recipes Using Template</x:v>
      </x:c>
      <x:c r="D1" s="46" t="str">
        <x:v>Core Formula</x:v>
      </x:c>
      <x:c r="E1" s="46" t="str">
        <x:v>Fourth-Slot Rule</x:v>
      </x:c>
      <x:c r="F1" s="46" t="str">
        <x:v>Tag Use</x:v>
      </x:c>
      <x:c r="G1" s="46" t="str">
        <x:v>Section</x:v>
      </x:c>
      <x:c r="H1" s="27" t="str">
        <x:v>Design Purpose</x:v>
      </x:c>
    </x:row>
    <x:row r="2">
      <x:c r="A2" s="38" t="str">
        <x:v>bomb_condition</x:v>
      </x:c>
      <x:c r="B2" s="51" t="str">
        <x:v>Condition Bombs</x:v>
      </x:c>
      <x:c r="C2" s="51" t="str">
        <x:v>Bomb of Blindness, Bomb of Charm, Bomb of Confusion, Bomb of Deafness, Bomb of Fear, Bomb of Paralysis, Bomb of Petrification, Bomb of Poisoning, Bomb of Restraint, Bomb of Stunning</x:v>
      </x:c>
      <x:c r="D2" s="51" t="str">
        <x:v>Mineral / Salt / Ash + Flower + Sap / Resin</x:v>
      </x:c>
      <x:c r="E2" s="51" t="str">
        <x:v>Required fourth slot: choose a component tagged Blindness, Sight.</x:v>
      </x:c>
      <x:c r="F2" s="51" t="str">
        <x:v>The recipe interprets the matching neutral tag.</x:v>
      </x:c>
      <x:c r="G2" s="51" t="str">
        <x:v>Bombs</x:v>
      </x:c>
      <x:c r="H2" s="39" t="str">
        <x:v>Keep individual player-facing recipes while sharing calculation and validation rules.</x:v>
      </x:c>
    </x:row>
    <x:row r="3">
      <x:c r="A3" s="38" t="str">
        <x:v>bomb_elemental</x:v>
      </x:c>
      <x:c r="B3" s="51" t="str">
        <x:v>Elemental Bombs</x:v>
      </x:c>
      <x:c r="C3" s="51" t="str">
        <x:v>Bomb of Acid, Bomb of Cold, Bomb of Fire, Bomb of Force, Bomb of Lightning, Bomb of Necrotic, Bomb of Poison, Bomb of Psychic, Bomb of Radiant, Bomb of Thunder</x:v>
      </x:c>
      <x:c r="D3" s="51" t="str">
        <x:v>Mineral / Salt / Ash + Sap / Resin + Thorn / Bark / Wood</x:v>
      </x:c>
      <x:c r="E3" s="51" t="str">
        <x:v>Required fourth slot: choose a component tagged Acid.</x:v>
      </x:c>
      <x:c r="F3" s="51" t="str">
        <x:v>The recipe interprets the matching neutral tag.</x:v>
      </x:c>
      <x:c r="G3" s="51" t="str">
        <x:v>Bombs</x:v>
      </x:c>
      <x:c r="H3" s="39" t="str">
        <x:v>Keep individual player-facing recipes while sharing calculation and validation rules.</x:v>
      </x:c>
    </x:row>
    <x:row r="4">
      <x:c r="A4" s="38" t="str">
        <x:v>elixir_condition_immunity</x:v>
      </x:c>
      <x:c r="B4" s="51" t="str">
        <x:v>Immunity Elixirs</x:v>
      </x:c>
      <x:c r="C4" s="51" t="str">
        <x:v>Elixir of Blindness Immunity, Elixir of Charm Immunity, Elixir of Confusion Immunity, Elixir of Deafness Immunity, Elixir of Fear Immunity, Elixir of Paralysis Immunity, Elixir of Petrification Immunity, Elixir of Poison Immunity, Elixir of Restraint Immunity, Elixir of Stunning Immunity</x:v>
      </x:c>
      <x:c r="D4" s="51" t="str">
        <x:v>Root + Flower + Mineral / Salt / Ash</x:v>
      </x:c>
      <x:c r="E4" s="51" t="str">
        <x:v>Required fourth slot: choose a component tagged Blindness, Sight.</x:v>
      </x:c>
      <x:c r="F4" s="51" t="str">
        <x:v>The recipe interprets the matching neutral tag.</x:v>
      </x:c>
      <x:c r="G4" s="51" t="str">
        <x:v>Elixirs</x:v>
      </x:c>
      <x:c r="H4" s="39" t="str">
        <x:v>Keep individual player-facing recipes while sharing calculation and validation rules.</x:v>
      </x:c>
    </x:row>
    <x:row r="5">
      <x:c r="A5" s="38" t="str">
        <x:v>elixir_element_resistance</x:v>
      </x:c>
      <x:c r="B5" s="51" t="str">
        <x:v>Resistance Elixirs</x:v>
      </x:c>
      <x:c r="C5" s="51" t="str">
        <x:v>Elixir of Acid Resistance, Elixir of Cold Resistance, Elixir of Fire Resistance, Elixir of Force Resistance, Elixir of Lightning Resistance, Elixir of Necrotic Resistance, Elixir of Poison Resistance, Elixir of Psychic Resistance, Elixir of Radiant Resistance, Elixir of Thunder Resistance</x:v>
      </x:c>
      <x:c r="D5" s="51" t="str">
        <x:v>Moss / Lichen + Root + Mineral / Salt / Ash</x:v>
      </x:c>
      <x:c r="E5" s="51" t="str">
        <x:v>Required fourth slot: choose a component tagged Acid.</x:v>
      </x:c>
      <x:c r="F5" s="51" t="str">
        <x:v>The recipe interprets the matching neutral tag.</x:v>
      </x:c>
      <x:c r="G5" s="51" t="str">
        <x:v>Elixirs</x:v>
      </x:c>
      <x:c r="H5" s="39" t="str">
        <x:v>Keep individual player-facing recipes while sharing calculation and validation rules.</x:v>
      </x:c>
    </x:row>
    <x:row r="6">
      <x:c r="A6" s="38" t="str">
        <x:v>oil_condition</x:v>
      </x:c>
      <x:c r="B6" s="51" t="str">
        <x:v>Condition Oils</x:v>
      </x:c>
      <x:c r="C6" s="51" t="str">
        <x:v>Oil of Blindness, Oil of Charm, Oil of Confusion, Oil of Deafness, Oil of Fear, Oil of Paralysis, Oil of Petrification, Oil of Poisoning, Oil of Restraint, Oil of Stunning</x:v>
      </x:c>
      <x:c r="D6" s="51" t="str">
        <x:v>Sap / Resin + Venom / Poison Plant + Mineral / Salt / Ash</x:v>
      </x:c>
      <x:c r="E6" s="51" t="str">
        <x:v>Required fourth slot: choose a component tagged Blindness, Sight.</x:v>
      </x:c>
      <x:c r="F6" s="51" t="str">
        <x:v>The recipe interprets the matching neutral tag.</x:v>
      </x:c>
      <x:c r="G6" s="51" t="str">
        <x:v>Oils</x:v>
      </x:c>
      <x:c r="H6" s="39" t="str">
        <x:v>Keep individual player-facing recipes while sharing calculation and validation rules.</x:v>
      </x:c>
    </x:row>
    <x:row r="7">
      <x:c r="A7" s="40" t="str">
        <x:v>oil_elemental</x:v>
      </x:c>
      <x:c r="B7" s="52" t="str">
        <x:v>Elemental Oils</x:v>
      </x:c>
      <x:c r="C7" s="52" t="str">
        <x:v>Oil of Acid, Oil of Cold, Oil of Fire, Oil of Force, Oil of Lightning, Oil of Necrotic, Oil of Poison, Oil of Psychic, Oil of Radiant, Oil of Thunder</x:v>
      </x:c>
      <x:c r="D7" s="52" t="str">
        <x:v>Sap / Resin + Mineral / Salt / Ash + Thorn / Bark / Wood</x:v>
      </x:c>
      <x:c r="E7" s="52" t="str">
        <x:v>Required fourth slot: choose a component tagged Acid.</x:v>
      </x:c>
      <x:c r="F7" s="52" t="str">
        <x:v>The recipe interprets the matching neutral tag.</x:v>
      </x:c>
      <x:c r="G7" s="52" t="str">
        <x:v>Oils</x:v>
      </x:c>
      <x:c r="H7" s="41" t="str">
        <x:v>Keep individual player-facing recipes while sharing calculation and validation rules.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19" hidden="0" customWidth="1"/>
    <x:col min="3" max="3" width="16" hidden="0" customWidth="1"/>
    <x:col min="4" max="4" width="22" hidden="0" customWidth="1"/>
    <x:col min="8" max="8" width="17" hidden="0" customWidth="1"/>
    <x:col min="9" max="9" width="17" hidden="0" customWidth="1"/>
    <x:col min="10" max="10" width="16" hidden="0" customWidth="1"/>
  </x:cols>
  <x:sheetData>
    <x:row r="1">
      <x:c r="A1" s="5" t="str">
        <x:v>Interactive Brew Quality &amp; Craft DC Calculator</x:v>
      </x:c>
      <x:c r="B1" s="5"/>
      <x:c r="C1" s="5"/>
      <x:c r="D1" s="5"/>
      <x:c r="E1" s="5"/>
      <x:c r="F1" s="5"/>
    </x:row>
    <x:row r="2">
      <x:c r="A2" s="5"/>
      <x:c r="B2" s="5"/>
      <x:c r="C2" s="5"/>
      <x:c r="D2" s="5"/>
      <x:c r="E2" s="5"/>
      <x:c r="F2" s="5"/>
    </x:row>
    <x:row r="4">
      <x:c r="A4" s="26" t="str">
        <x:v>Selection</x:v>
      </x:c>
      <x:c r="B4" s="46" t="str">
        <x:v>Rarity</x:v>
      </x:c>
      <x:c r="C4" s="46" t="str">
        <x:v>Quality Steps</x:v>
      </x:c>
      <x:c r="D4" s="27" t="str">
        <x:v>Effective DC Reduction</x:v>
      </x:c>
      <x:c r="H4" s="26" t="str">
        <x:v>Rarity</x:v>
      </x:c>
      <x:c r="I4" s="46" t="str">
        <x:v>DC Reduction</x:v>
      </x:c>
      <x:c r="J4" s="27" t="str">
        <x:v>Base Craft DC</x:v>
      </x:c>
    </x:row>
    <x:row r="5">
      <x:c r="A5" s="28" t="str">
        <x:v>Formula</x:v>
      </x:c>
      <x:c r="B5" s="47" t="str">
        <x:v>Common</x:v>
      </x:c>
      <x:c r="C5" s="47" t="n">
        <x:v>0</x:v>
      </x:c>
      <x:c r="D5" s="29" t="n">
        <x:v>0</x:v>
      </x:c>
      <x:c r="H5" s="28" t="str">
        <x:v>Common</x:v>
      </x:c>
      <x:c r="I5" s="47" t="n">
        <x:v>0</x:v>
      </x:c>
      <x:c r="J5" s="29" t="n">
        <x:v>16</x:v>
      </x:c>
    </x:row>
    <x:row r="6">
      <x:c r="A6" s="28" t="str">
        <x:v>Core Ingredient 1</x:v>
      </x:c>
      <x:c r="B6" s="47" t="str">
        <x:v>Common</x:v>
      </x:c>
      <x:c r="C6" s="47" t="n">
        <x:f>MAX(0,MATCH(B6,$H$5:$H$9,0)-MATCH($B$5,$H$5:$H$9,0))</x:f>
        <x:v>0</x:v>
      </x:c>
      <x:c r="D6" s="29" t="n">
        <x:f>MIN(INDEX($I$5:$I$9,MATCH(B6,$H$5:$H$9,0)),INDEX($I$5:$I$9,MATCH($B$12,$H$5:$H$9,0)))</x:f>
        <x:v>0</x:v>
      </x:c>
      <x:c r="H6" s="28" t="str">
        <x:v>Uncommon</x:v>
      </x:c>
      <x:c r="I6" s="47" t="n">
        <x:v>2</x:v>
      </x:c>
      <x:c r="J6" s="29" t="n">
        <x:v>22</x:v>
      </x:c>
    </x:row>
    <x:row r="7">
      <x:c r="A7" s="28" t="str">
        <x:v>Core Ingredient 2</x:v>
      </x:c>
      <x:c r="B7" s="47" t="str">
        <x:v>Common</x:v>
      </x:c>
      <x:c r="C7" s="47" t="n">
        <x:f>MAX(0,MATCH(B7,$H$5:$H$9,0)-MATCH($B$5,$H$5:$H$9,0))</x:f>
        <x:v>0</x:v>
      </x:c>
      <x:c r="D7" s="29" t="n">
        <x:f>MIN(INDEX($I$5:$I$9,MATCH(B7,$H$5:$H$9,0)),INDEX($I$5:$I$9,MATCH($B$12,$H$5:$H$9,0)))</x:f>
        <x:v>0</x:v>
      </x:c>
      <x:c r="H7" s="28" t="str">
        <x:v>Rare</x:v>
      </x:c>
      <x:c r="I7" s="47" t="n">
        <x:v>4</x:v>
      </x:c>
      <x:c r="J7" s="29" t="n">
        <x:v>28</x:v>
      </x:c>
    </x:row>
    <x:row r="8">
      <x:c r="A8" s="30" t="str">
        <x:v>Core Ingredient 3</x:v>
      </x:c>
      <x:c r="B8" s="48" t="str">
        <x:v>Common</x:v>
      </x:c>
      <x:c r="C8" s="48" t="n">
        <x:f>MAX(0,MATCH(B8,$H$5:$H$9,0)-MATCH($B$5,$H$5:$H$9,0))</x:f>
        <x:v>0</x:v>
      </x:c>
      <x:c r="D8" s="31" t="n">
        <x:f>MIN(INDEX($I$5:$I$9,MATCH(B8,$H$5:$H$9,0)),INDEX($I$5:$I$9,MATCH($B$12,$H$5:$H$9,0)))</x:f>
        <x:v>0</x:v>
      </x:c>
      <x:c r="H8" s="28" t="str">
        <x:v>Very Rare</x:v>
      </x:c>
      <x:c r="I8" s="47" t="n">
        <x:v>6</x:v>
      </x:c>
      <x:c r="J8" s="29" t="n">
        <x:v>34</x:v>
      </x:c>
    </x:row>
    <x:row r="9">
      <x:c r="H9" s="30" t="str">
        <x:v>Legendary</x:v>
      </x:c>
      <x:c r="I9" s="48" t="n">
        <x:v>8</x:v>
      </x:c>
      <x:c r="J9" s="31" t="n">
        <x:v>40</x:v>
      </x:c>
    </x:row>
    <x:row r="10">
      <x:c r="A10" s="26" t="str">
        <x:v>Result</x:v>
      </x:c>
      <x:c r="B10" s="27" t="str">
        <x:v>Value</x:v>
      </x:c>
    </x:row>
    <x:row r="11">
      <x:c r="A11" s="28" t="str">
        <x:v>Total Quality Steps</x:v>
      </x:c>
      <x:c r="B11" s="29" t="n">
        <x:f>SUM(C6:C8)</x:f>
        <x:v>0</x:v>
      </x:c>
    </x:row>
    <x:row r="12">
      <x:c r="A12" s="28" t="str">
        <x:v>Finished Brew Rarity</x:v>
      </x:c>
      <x:c r="B12" s="29" t="str">
        <x:f>INDEX($H$5:$H$9,MIN(5,MATCH(B5,$H$5:$H$9,0)+INT(B11/3)))</x:f>
        <x:v>Common</x:v>
      </x:c>
    </x:row>
    <x:row r="13">
      <x:c r="A13" s="28" t="str">
        <x:v>Finished Rarity Base DC</x:v>
      </x:c>
      <x:c r="B13" s="29" t="n">
        <x:f>INDEX($J$5:$J$9,MATCH(B12,$H$5:$H$9,0))</x:f>
        <x:v>16</x:v>
      </x:c>
    </x:row>
    <x:row r="14">
      <x:c r="A14" s="28" t="str">
        <x:v>Core Ingredient Reduction</x:v>
      </x:c>
      <x:c r="B14" s="29" t="n">
        <x:f>SUM(D6:D8)</x:f>
        <x:v>0</x:v>
      </x:c>
    </x:row>
    <x:row r="15">
      <x:c r="A15" s="28" t="str">
        <x:v>Explicit Fourth-Slot DC Reduction</x:v>
      </x:c>
      <x:c r="B15" s="29" t="n">
        <x:v>0</x:v>
      </x:c>
    </x:row>
    <x:row r="16">
      <x:c r="A16" s="28" t="str">
        <x:v>Final Craft DC</x:v>
      </x:c>
      <x:c r="B16" s="29" t="n">
        <x:f>MAX(10,B13-B14-B15)</x:f>
        <x:v>16</x:v>
      </x:c>
    </x:row>
    <x:row r="17">
      <x:c r="A17" s="30" t="str">
        <x:v>Rarity Increase</x:v>
      </x:c>
      <x:c r="B17" s="31" t="n">
        <x:f>MATCH(B12,$H$5:$H$9,0)-MATCH(B5,$H$5:$H$9,0)</x:f>
        <x:v>0</x:v>
      </x:c>
    </x:row>
  </x:sheetData>
  <x:mergeCells>
    <x:mergeCell ref="A1:F2"/>
  </x:mergeCells>
  <x:dataValidations count="2">
    <x:dataValidation type="list" sqref="B5:B8">
      <x:formula1>"Common,Uncommon,Rare,Very Rare,Legendary"</x:formula1>
    </x:dataValidation>
    <x:dataValidation operator="between" sqref="B15">
      <x:formula1>0</x:formula1>
      <x:formula2>20</x:formula2>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50" hidden="0" customWidth="1"/>
    <x:col min="3" max="3" width="32" hidden="0" customWidth="1"/>
    <x:col min="4" max="4" width="34" hidden="0" customWidth="1"/>
    <x:col min="5" max="5" width="48" hidden="0" customWidth="1"/>
  </x:cols>
  <x:sheetData>
    <x:row r="1">
      <x:c r="A1" s="26" t="str">
        <x:v>Family</x:v>
      </x:c>
      <x:c r="B1" s="46" t="str">
        <x:v>Identity</x:v>
      </x:c>
      <x:c r="C1" s="46" t="str">
        <x:v>Major Sources</x:v>
      </x:c>
      <x:c r="D1" s="46" t="str">
        <x:v>Moderate Sources</x:v>
      </x:c>
      <x:c r="E1" s="27" t="str">
        <x:v>Tags / Special Uses</x:v>
      </x:c>
    </x:row>
    <x:row r="2">
      <x:c r="A2" s="38" t="str">
        <x:v>Mushroom</x:v>
      </x:c>
      <x:c r="B2" s="51" t="str">
        <x:v>Flesh, healing, mutation, adaptation, and body change.</x:v>
      </x:c>
      <x:c r="C2" s="51" t="str">
        <x:v>Effect Strength</x:v>
      </x:c>
      <x:c r="D2" s="51" t="str">
        <x:v>Duration; Extra Doses</x:v>
      </x:c>
      <x:c r="E2" s="39" t="str">
        <x:v>Select species: Mind, Psychic, Confusion</x:v>
      </x:c>
    </x:row>
    <x:row r="3">
      <x:c r="A3" s="38" t="str">
        <x:v>Root</x:v>
      </x:c>
      <x:c r="B3" s="51" t="str">
        <x:v>Grounding, endurance, slow release, and deep medicine.</x:v>
      </x:c>
      <x:c r="C3" s="51" t="str">
        <x:v>Duration; Die Step</x:v>
      </x:c>
      <x:c r="D3" s="51" t="str">
        <x:v>Effect Strength; Extra Doses</x:v>
      </x:c>
      <x:c r="E3" s="39" t="str">
        <x:v>Select roots: Binding, Nerve, Paralysis</x:v>
      </x:c>
    </x:row>
    <x:row r="4">
      <x:c r="A4" s="38" t="str">
        <x:v>Sap / Resin</x:v>
      </x:c>
      <x:c r="B4" s="51" t="str">
        <x:v>Sealing, preservation, oils, coatings, and lingering effects.</x:v>
      </x:c>
      <x:c r="C4" s="51" t="str">
        <x:v>Duration</x:v>
      </x:c>
      <x:c r="D4" s="51" t="str">
        <x:v>Effect Strength; Extra Doses</x:v>
      </x:c>
      <x:c r="E4" s="39" t="str">
        <x:v>Binding and Restraint</x:v>
      </x:c>
    </x:row>
    <x:row r="5">
      <x:c r="A5" s="38" t="str">
        <x:v>Moss / Lichen</x:v>
      </x:c>
      <x:c r="B5" s="51" t="str">
        <x:v>Resistance, survival, terrain adaptation, and environmental endurance.</x:v>
      </x:c>
      <x:c r="C5" s="51" t="str">
        <x:v>Duration</x:v>
      </x:c>
      <x:c r="D5" s="51" t="str">
        <x:v>Effect Strength; Area / Range; Extra Doses</x:v>
      </x:c>
      <x:c r="E5" s="39" t="str">
        <x:v>Fear, Shadow, Psychic</x:v>
      </x:c>
    </x:row>
    <x:row r="6">
      <x:c r="A6" s="38" t="str">
        <x:v>Flower</x:v>
      </x:c>
      <x:c r="B6" s="51" t="str">
        <x:v>Senses, emotion, clarity, sleep, charm, and mental pressure.</x:v>
      </x:c>
      <x:c r="C6" s="51" t="str">
        <x:v>Save DC</x:v>
      </x:c>
      <x:c r="D6" s="51" t="str">
        <x:v>Effect Strength; Duration; Area / Range</x:v>
      </x:c>
      <x:c r="E6" s="39" t="str">
        <x:v>Charm, Blindness, Mind, Psychic</x:v>
      </x:c>
    </x:row>
    <x:row r="7">
      <x:c r="A7" s="38" t="str">
        <x:v>Leaf / Vine</x:v>
      </x:c>
      <x:c r="B7" s="51" t="str">
        <x:v>Movement, breath, climbing, flexibility, speed, and agility.</x:v>
      </x:c>
      <x:c r="C7" s="51" t="str">
        <x:v>Duration</x:v>
      </x:c>
      <x:c r="D7" s="51" t="str">
        <x:v>Effect Strength; Area / Range</x:v>
      </x:c>
      <x:c r="E7" s="39" t="str">
        <x:v>Lightning, Thunder, Stunning</x:v>
      </x:c>
    </x:row>
    <x:row r="8">
      <x:c r="A8" s="38" t="str">
        <x:v>Thorn / Bark / Wood</x:v>
      </x:c>
      <x:c r="B8" s="51" t="str">
        <x:v>Armor, hardening, physical reinforcement, and fortitude.</x:v>
      </x:c>
      <x:c r="C8" s="51" t="str">
        <x:v>Effect Strength</x:v>
      </x:c>
      <x:c r="D8" s="51" t="str">
        <x:v>Duration; Save DC</x:v>
      </x:c>
      <x:c r="E8" s="39" t="str">
        <x:v>Blindness, Stone, Binding</x:v>
      </x:c>
    </x:row>
    <x:row r="9">
      <x:c r="A9" s="38" t="str">
        <x:v>Mineral / Salt / Ash</x:v>
      </x:c>
      <x:c r="B9" s="51" t="str">
        <x:v>Binding, purification, preservation, structure, and warding.</x:v>
      </x:c>
      <x:c r="C9" s="51" t="str">
        <x:v>Duration; Extra Doses</x:v>
      </x:c>
      <x:c r="D9" s="51" t="str">
        <x:v>Effect Strength; Save DC; Area / Range</x:v>
      </x:c>
      <x:c r="E9" s="39" t="str">
        <x:v>Elemental tags and Petrification</x:v>
      </x:c>
    </x:row>
    <x:row r="10">
      <x:c r="A10" s="38" t="str">
        <x:v>Venom / Poison Plant</x:v>
      </x:c>
      <x:c r="B10" s="51" t="str">
        <x:v>Toxic damage, weakening, paralysis, sleep, and stat damage.</x:v>
      </x:c>
      <x:c r="C10" s="51" t="str">
        <x:v>Effect Strength; Save DC</x:v>
      </x:c>
      <x:c r="D10" s="51" t="str">
        <x:v>Duration</x:v>
      </x:c>
      <x:c r="E10" s="39" t="str">
        <x:v>Poison, Paralysis, Confusion</x:v>
      </x:c>
    </x:row>
    <x:row r="11">
      <x:c r="A11" s="40" t="str">
        <x:v>Monster Parts</x:v>
      </x:c>
      <x:c r="B11" s="52" t="str">
        <x:v>Harvested glands, motes, blood, essences, bile, and organs.</x:v>
      </x:c>
      <x:c r="C11" s="52" t="str">
        <x:v>Neutral elemental/condition tags</x:v>
      </x:c>
      <x:c r="D11" s="52" t="str">
        <x:v>Effect; Duration; Save DC</x:v>
      </x:c>
      <x:c r="E11" s="41" t="str">
        <x:v>Recipe-specific fourth-slot direction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5" hidden="0" customWidth="1"/>
    <x:col min="2" max="2" width="28" hidden="0" customWidth="1"/>
    <x:col min="3" max="3" width="86" hidden="0" customWidth="1"/>
  </x:cols>
  <x:sheetData>
    <x:row r="1">
      <x:c r="A1" s="26" t="str">
        <x:v>Attribute</x:v>
      </x:c>
      <x:c r="B1" s="46" t="str">
        <x:v>Player-Facing Display</x:v>
      </x:c>
      <x:c r="C1" s="27" t="str">
        <x:v>What It Does</x:v>
      </x:c>
    </x:row>
    <x:row r="2">
      <x:c r="A2" s="38" t="str">
        <x:v>Craft DC Reduction</x:v>
      </x:c>
      <x:c r="B2" s="51" t="str">
        <x:v>Craft DC -2 / -4 / -6</x:v>
      </x:c>
      <x:c r="C2" s="39" t="str">
        <x:v>Core ingredients reduce DC up to the cap of finished brew rarity.</x:v>
      </x:c>
    </x:row>
    <x:row r="3">
      <x:c r="A3" s="38" t="str">
        <x:v>Quality Steps</x:v>
      </x:c>
      <x:c r="B3" s="51" t="str">
        <x:v>Quality +1 / +2 / +3</x:v>
      </x:c>
      <x:c r="C3" s="39" t="str">
        <x:v>Every three core-ingredient Quality Steps raises finished rarity one tier.</x:v>
      </x:c>
    </x:row>
    <x:row r="4">
      <x:c r="A4" s="38" t="str">
        <x:v>Effect Strength</x:v>
      </x:c>
      <x:c r="B4" s="51" t="str">
        <x:v>Effect +25%</x:v>
      </x:c>
      <x:c r="C4" s="39" t="str">
        <x:v>Adds whole base effect dice whenever the percentage can produce them; flat modifiers scale with the dice.</x:v>
      </x:c>
    </x:row>
    <x:row r="5">
      <x:c r="A5" s="38" t="str">
        <x:v>Duration</x:v>
      </x:c>
      <x:c r="B5" s="51" t="str">
        <x:v>Duration +25%</x:v>
      </x:c>
      <x:c r="C5" s="39" t="str">
        <x:v>Adds whole duration dice when possible; Die Step promotes minutes to hours, hours to days, and days to weeks.</x:v>
      </x:c>
    </x:row>
    <x:row r="6">
      <x:c r="A6" s="38" t="str">
        <x:v>Area / Range</x:v>
      </x:c>
      <x:c r="B6" s="51" t="str">
        <x:v>Area / Range +25%</x:v>
      </x:c>
      <x:c r="C6" s="39" t="str">
        <x:v>Improves splash, cloud, aura, thrown, or ranged formulas.</x:v>
      </x:c>
    </x:row>
    <x:row r="7">
      <x:c r="A7" s="38" t="str">
        <x:v>Extra Doses</x:v>
      </x:c>
      <x:c r="B7" s="51" t="str">
        <x:v>+1 Extra Dose</x:v>
      </x:c>
      <x:c r="C7" s="39" t="str">
        <x:v>Creates additional finished doses.</x:v>
      </x:c>
    </x:row>
    <x:row r="8">
      <x:c r="A8" s="38" t="str">
        <x:v>Save DC</x:v>
      </x:c>
      <x:c r="B8" s="51" t="str">
        <x:v>Save DC +1</x:v>
      </x:c>
      <x:c r="C8" s="39" t="str">
        <x:v>Raises hostile formula saving throw DC.</x:v>
      </x:c>
    </x:row>
    <x:row r="9">
      <x:c r="A9" s="38" t="str">
        <x:v>Die Step</x:v>
      </x:c>
      <x:c r="B9" s="51" t="str">
        <x:v>Die step +1</x:v>
      </x:c>
      <x:c r="C9" s="39" t="str">
        <x:v>Upgrades effect dice and supported duration units before percentage scaling.</x:v>
      </x:c>
    </x:row>
    <x:row r="10">
      <x:c r="A10" s="40" t="str">
        <x:v>Neutral Tag</x:v>
      </x:c>
      <x:c r="B10" s="52" t="str">
        <x:v>Fire / Psychic / Confusion</x:v>
      </x:c>
      <x:c r="C10" s="41" t="str">
        <x:v>Controls fourth-slot eligibility; the recipe decides how the tag is used.</x:v>
      </x:c>
    </x:row>
  </x:sheetData>
  <x:pageMargins left="0.7" right="0.7" top="0.75" bottom="0.75" header="0.3" footer="0.3"/>
</x:worksheet>
</file>