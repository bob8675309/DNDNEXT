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e7f38e0cd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adecb5de79f4898"/>
    <x:sheet xmlns:r="http://schemas.openxmlformats.org/officeDocument/2006/relationships" name="Ingredients" sheetId="2" r:id="R06e17959c8c84df4"/>
    <x:sheet xmlns:r="http://schemas.openxmlformats.org/officeDocument/2006/relationships" name="Recipes" sheetId="3" r:id="R36824ca9a7854a30"/>
    <x:sheet xmlns:r="http://schemas.openxmlformats.org/officeDocument/2006/relationships" name="Elemental Breath Potions" sheetId="4" r:id="Rf6751247cbad4c62"/>
    <x:sheet xmlns:r="http://schemas.openxmlformats.org/officeDocument/2006/relationships" name="Bombs" sheetId="5" r:id="R6982855283a248f0"/>
    <x:sheet xmlns:r="http://schemas.openxmlformats.org/officeDocument/2006/relationships" name="Save DC Calculator" sheetId="6" r:id="R2fca2d089da5485b"/>
    <x:sheet xmlns:r="http://schemas.openxmlformats.org/officeDocument/2006/relationships" name="Brew Quality" sheetId="7" r:id="R7b6004baaec3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8FAFC"/>
      <x:name val="Carlito"/>
    </x:font>
    <x:font>
      <x:b/>
      <x:sz val="11"/>
      <x:color rgb="FACC15"/>
      <x:name val="Carlito"/>
    </x:font>
    <x:font>
      <x:b/>
      <x:sz val="11"/>
      <x:color rgb="FFFFFF"/>
      <x:name val="Carlito"/>
    </x:font>
    <x:font>
      <x:b/>
      <x:sz val="16"/>
      <x:color rgb="065F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2033"/>
      </x:patternFill>
    </x:fill>
    <x:fill>
      <x:patternFill patternType="solid">
        <x:fgColor rgb="24324A"/>
      </x:patternFill>
    </x:fill>
    <x:fill>
      <x:patternFill patternType="solid">
        <x:fgColor rgb="1F3A5F"/>
      </x:patternFill>
    </x:fill>
    <x:fill>
      <x:patternFill patternType="solid">
        <x:fgColor rgb="D1FAE5"/>
      </x:patternFill>
    </x:fill>
  </x:fills>
  <x:borders count="18">
    <x:border/>
    <x:border/>
    <x:border>
      <x:left>
        <x:color rgb="475569"/>
      </x:left>
      <x:top>
        <x:color rgb="475569"/>
      </x:top>
    </x:border>
    <x:border>
      <x:right>
        <x:color rgb="475569"/>
      </x:right>
      <x:top>
        <x:color rgb="475569"/>
      </x:top>
    </x:border>
    <x:border>
      <x:left>
        <x:color rgb="475569"/>
      </x:left>
    </x:border>
    <x:border>
      <x:right>
        <x:color rgb="475569"/>
      </x:right>
    </x:border>
    <x:border>
      <x:left>
        <x:color rgb="475569"/>
      </x:left>
      <x:bottom>
        <x:color rgb="475569"/>
      </x:bottom>
    </x:border>
    <x:border>
      <x:right>
        <x:color rgb="475569"/>
      </x:right>
      <x:bottom>
        <x:color rgb="475569"/>
      </x:bottom>
    </x:border>
    <x:border>
      <x:left>
        <x:color rgb="475569"/>
      </x:left>
      <x:top>
        <x:color rgb="475569"/>
      </x:top>
    </x:border>
    <x:border>
      <x:right>
        <x:color rgb="475569"/>
      </x:right>
      <x:top>
        <x:color rgb="475569"/>
      </x:top>
    </x:border>
    <x:border>
      <x:left>
        <x:color rgb="475569"/>
      </x:left>
    </x:border>
    <x:border>
      <x:right>
        <x:color rgb="475569"/>
      </x:right>
    </x:border>
    <x:border>
      <x:left>
        <x:color rgb="475569"/>
      </x:left>
      <x:bottom>
        <x:color rgb="475569"/>
      </x:bottom>
    </x:border>
    <x:border>
      <x:right>
        <x:color rgb="475569"/>
      </x:right>
      <x:bottom>
        <x:color rgb="475569"/>
      </x:bottom>
    </x:border>
    <x:border>
      <x:top>
        <x:color rgb="475569"/>
      </x:top>
    </x:border>
    <x:border>
      <x:bottom>
        <x:color rgb="475569"/>
      </x:bottom>
    </x:border>
    <x:border>
      <x:top>
        <x:color rgb="475569"/>
      </x:top>
    </x:border>
    <x:border>
      <x:bottom>
        <x:color rgb="475569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3" fillId="4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7" xfId="0" applyNumberFormat="1" applyFont="1" applyFill="1" applyBorder="1"/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horizontal="center"/>
    </x:xf>
    <x:xf numFmtId="0" fontId="0" fillId="5" borderId="13" xfId="0" applyNumberFormat="1" applyFont="1" applyFill="1" applyBorder="1"/>
    <x:xf numFmtId="0" fontId="4" fillId="5" borderId="13" xfId="0" applyNumberFormat="1" applyFont="1" applyFill="1" applyBorder="1"/>
    <x:xf numFmtId="0" fontId="4" fillId="5" borderId="13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111827"/>
      </x:font>
      <x:fill>
        <x:patternFill patternType="solid">
          <x:bgColor rgb="E2E8F0"/>
        </x:patternFill>
      </x:fill>
    </x:dxf>
    <x:dxf>
      <x:font>
        <x:b/>
        <x:color rgb="111827"/>
      </x:font>
      <x:fill>
        <x:patternFill patternType="solid">
          <x:bgColor rgb="BBF7D0"/>
        </x:patternFill>
      </x:fill>
    </x:dxf>
    <x:dxf>
      <x:font>
        <x:b/>
        <x:color rgb="111827"/>
      </x:font>
      <x:fill>
        <x:patternFill patternType="solid">
          <x:bgColor rgb="BFDBFE"/>
        </x:patternFill>
      </x:fill>
    </x:dxf>
    <x:dxf>
      <x:font>
        <x:b/>
        <x:color rgb="111827"/>
      </x:font>
      <x:fill>
        <x:patternFill patternType="solid">
          <x:bgColor rgb="DDD6FE"/>
        </x:patternFill>
      </x:fill>
    </x:dxf>
    <x:dxf>
      <x:font>
        <x:b/>
        <x:color rgb="111827"/>
      </x:font>
      <x:fill>
        <x:patternFill patternType="solid">
          <x:bgColor rgb="FDE68A"/>
        </x:patternFill>
      </x:fill>
    </x:dxf>
    <x:dxf>
      <x:font>
        <x:b/>
        <x:color rgb="111827"/>
      </x:font>
      <x:fill>
        <x:patternFill patternType="solid">
          <x:bgColor rgb="DBEAFE"/>
        </x:patternFill>
      </x:fill>
    </x:dxf>
    <x:dxf>
      <x:font>
        <x:b/>
        <x:color rgb="111827"/>
      </x:font>
      <x:fill>
        <x:patternFill patternType="solid">
          <x:bgColor rgb="FECACA"/>
        </x:patternFill>
      </x:fill>
    </x:dxf>
    <x:dxf>
      <x:font>
        <x:b/>
        <x:color rgb="111827"/>
      </x:font>
      <x:fill>
        <x:patternFill patternType="solid">
          <x:bgColor rgb="FED7AA"/>
        </x:patternFill>
      </x:fill>
    </x:dxf>
    <x:dxf>
      <x:font>
        <x:b/>
        <x:color rgb="111827"/>
      </x:font>
      <x:fill>
        <x:patternFill patternType="solid">
          <x:bgColor rgb="D1FAE5"/>
        </x:patternFill>
      </x:fill>
    </x:dxf>
    <x:dxf>
      <x:font>
        <x:b/>
        <x:color rgb="111827"/>
      </x:font>
      <x:fill>
        <x:patternFill patternType="solid">
          <x:bgColor rgb="FEF3C7"/>
        </x:patternFill>
      </x:fill>
    </x:dxf>
    <x:dxf>
      <x:font>
        <x:b/>
        <x:color rgb="111827"/>
      </x:font>
      <x:fill>
        <x:patternFill patternType="solid">
          <x:bgColor rgb="E2E8F0"/>
        </x:patternFill>
      </x:fill>
    </x:dxf>
    <x:dxf>
      <x:font>
        <x:b/>
        <x:color rgb="111827"/>
      </x:font>
      <x:fill>
        <x:patternFill patternType="solid">
          <x:bgColor rgb="BBF7D0"/>
        </x:patternFill>
      </x:fill>
    </x:dxf>
    <x:dxf>
      <x:font>
        <x:b/>
        <x:color rgb="111827"/>
      </x:font>
      <x:fill>
        <x:patternFill patternType="solid">
          <x:bgColor rgb="BFDBFE"/>
        </x:patternFill>
      </x:fill>
    </x:dxf>
    <x:dxf>
      <x:font>
        <x:b/>
        <x:color rgb="111827"/>
      </x:font>
      <x:fill>
        <x:patternFill patternType="solid">
          <x:bgColor rgb="DDD6FE"/>
        </x:patternFill>
      </x:fill>
    </x:dxf>
    <x:dxf>
      <x:font>
        <x:b/>
        <x:color rgb="111827"/>
      </x:font>
      <x:fill>
        <x:patternFill patternType="solid"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d9dc9e4734c8c" /><Relationship Type="http://schemas.openxmlformats.org/officeDocument/2006/relationships/theme" Target="/xl/theme/theme1.xml" Id="Rc34db5ef3a35436e" /><Relationship Type="http://schemas.openxmlformats.org/officeDocument/2006/relationships/sharedStrings" Target="/xl/sharedStrings.xml" Id="R7090d34ed2934be3" /><Relationship Type="http://schemas.openxmlformats.org/officeDocument/2006/relationships/worksheet" Target="/xl/worksheets/sheet1.xml" Id="R7adecb5de79f4898" /><Relationship Type="http://schemas.openxmlformats.org/officeDocument/2006/relationships/worksheet" Target="/xl/worksheets/sheet2.xml" Id="R06e17959c8c84df4" /><Relationship Type="http://schemas.openxmlformats.org/officeDocument/2006/relationships/worksheet" Target="/xl/worksheets/sheet3.xml" Id="R36824ca9a7854a30" /><Relationship Type="http://schemas.openxmlformats.org/officeDocument/2006/relationships/worksheet" Target="/xl/worksheets/sheet4.xml" Id="Rf6751247cbad4c62" /><Relationship Type="http://schemas.openxmlformats.org/officeDocument/2006/relationships/worksheet" Target="/xl/worksheets/sheet5.xml" Id="R6982855283a248f0" /><Relationship Type="http://schemas.openxmlformats.org/officeDocument/2006/relationships/worksheet" Target="/xl/worksheets/sheet6.xml" Id="R2fca2d089da5485b" /><Relationship Type="http://schemas.openxmlformats.org/officeDocument/2006/relationships/worksheet" Target="/xl/worksheets/sheet7.xml" Id="R7b6004baaec343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981423269142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Brews by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'Start Here'!$D$6:$D$10</c:f>
              <c:strCache>
                <c:ptCount val="0"/>
              </c:strCache>
            </c:strRef>
          </c:cat>
          <c:val>
            <c:numRef>
              <c:f>'Start Here'!$E$6:$E$10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981423269142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chemyIngredientsV9" displayName="AlchemyIngredientsV9" ref="A1:G231" headerRowCount="1">
  <x:tableColumns count="7">
    <x:tableColumn id="1" name="Slot"/>
    <x:tableColumn id="2" name="Family"/>
    <x:tableColumn id="3" name="Rarity"/>
    <x:tableColumn id="4" name="Ingredient"/>
    <x:tableColumn id="5" name="Visible Tags"/>
    <x:tableColumn id="6" name="Brew Impact"/>
    <x:tableColumn id="7" name="Physical 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AlchemyRecipesV9" displayName="AlchemyRecipesV9" ref="A1:N116" headerRowCount="1">
  <x:tableColumns count="14">
    <x:tableColumn id="1" name="Type"/>
    <x:tableColumn id="2" name="Recipe Group"/>
    <x:tableColumn id="3" name="Recipe"/>
    <x:tableColumn id="4" name="Rarity"/>
    <x:tableColumn id="5" name="Base Craft DC"/>
    <x:tableColumn id="6" name="Core Ingredient 1"/>
    <x:tableColumn id="7" name="Core Ingredient 2"/>
    <x:tableColumn id="8" name="Core Ingredient 3"/>
    <x:tableColumn id="9" name="Required Fourth-Slot Tags"/>
    <x:tableColumn id="10" name="Duration"/>
    <x:tableColumn id="11" name="Base Effect"/>
    <x:tableColumn id="12" name="Area of Effect"/>
    <x:tableColumn id="13" name="Save Ability"/>
    <x:tableColumn id="14" name="Use"/>
  </x:tableColumns>
  <x:tableStyleInfo name="TableStyleMedium2" showRowStripes="1"/>
</x:table>
</file>

<file path=xl/tables/table3.xml><?xml version="1.0" encoding="utf-8"?>
<x:table xmlns:x="http://schemas.openxmlformats.org/spreadsheetml/2006/main" id="3" name="ElementalBreathPotionsV9" displayName="ElementalBreathPotionsV9" ref="A1:J11" headerRowCount="1">
  <x:tableColumns count="10">
    <x:tableColumn id="1" name="Potion"/>
    <x:tableColumn id="2" name="Rarity"/>
    <x:tableColumn id="3" name="Base Craft DC"/>
    <x:tableColumn id="4" name="Required Tag"/>
    <x:tableColumn id="5" name="Damage"/>
    <x:tableColumn id="6" name="Area"/>
    <x:tableColumn id="7" name="Save"/>
    <x:tableColumn id="8" name="Uses"/>
    <x:tableColumn id="9" name="Duration"/>
    <x:tableColumn id="10" name="Core Formula"/>
  </x:tableColumns>
  <x:tableStyleInfo name="TableStyleMedium2" showRowStripes="1"/>
</x:table>
</file>

<file path=xl/tables/table4.xml><?xml version="1.0" encoding="utf-8"?>
<x:table xmlns:x="http://schemas.openxmlformats.org/spreadsheetml/2006/main" id="4" name="BombRecipesV9" displayName="BombRecipesV9" ref="A1:I21" headerRowCount="1">
  <x:tableColumns count="9">
    <x:tableColumn id="1" name="Bomb"/>
    <x:tableColumn id="2" name="Group"/>
    <x:tableColumn id="3" name="Rarity"/>
    <x:tableColumn id="4" name="Base Craft DC"/>
    <x:tableColumn id="5" name="Required Tags"/>
    <x:tableColumn id="6" name="Base Area"/>
    <x:tableColumn id="7" name="Save Ability"/>
    <x:tableColumn id="8" name="Base Damage / Effect"/>
    <x:tableColumn id="9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0a8fb4995e49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9b7c8a9c7447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e545a0c08342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ae5b40332e4d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903682890d4519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2" hidden="0" customWidth="1"/>
    <x:col min="4" max="4" width="18" hidden="0" customWidth="1"/>
    <x:col min="5" max="5" width="12" hidden="0" customWidth="1"/>
  </x:cols>
  <x:sheetData>
    <x:row r="1" ht="28" customHeight="1">
      <x:c r="A1" s="5" t="str">
        <x:v>DNDNext Alchemy Codex v9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12" t="str">
        <x:v>v9 Rules and Additions</x:v>
      </x:c>
      <x:c r="B4" s="12"/>
      <x:c r="C4" s="12"/>
      <x:c r="D4" s="12"/>
      <x:c r="E4" s="12"/>
      <x:c r="F4" s="12"/>
      <x:c r="G4" s="12"/>
      <x:c r="H4" s="12"/>
      <x:c r="I4" s="12"/>
    </x:row>
    <x:row r="5">
      <x:c r="A5" s="26" t="str">
        <x:v>Rule</x:v>
      </x:c>
      <x:c r="B5" s="27" t="str">
        <x:v>Player-facing explanation</x:v>
      </x:c>
      <x:c r="D5" s="26" t="str">
        <x:v>Brew Type</x:v>
      </x:c>
      <x:c r="E5" s="27" t="str">
        <x:v>Count</x:v>
      </x:c>
    </x:row>
    <x:row r="6">
      <x:c r="A6" s="38" t="str">
        <x:v>Elemental Breath Potions</x:v>
      </x:c>
      <x:c r="B6" s="39" t="str">
        <x:v>Ten individual breath recipes use the same three core families. A required fourth-slot elemental tag sets Acid, Cold, Fire, Force, Lightning, Necrotic, Poison, Psychic, Radiant, or Thunder.</x:v>
      </x:c>
      <x:c r="D6" s="28" t="str">
        <x:v>Potions</x:v>
      </x:c>
      <x:c r="E6" s="29" t="n">
        <x:v>35</x:v>
      </x:c>
    </x:row>
    <x:row r="7">
      <x:c r="A7" s="38" t="str">
        <x:v>Breath effect</x:v>
      </x:c>
      <x:c r="B7" s="39" t="str">
        <x:v>For 1 hour, the drinker can exhale a 15-foot cone up to three times as a Bonus Action. The base damage is 4d6 and is modified by ingredient Effect and Die Step bonuses.</x:v>
      </x:c>
      <x:c r="D7" s="28" t="str">
        <x:v>Poisons</x:v>
      </x:c>
      <x:c r="E7" s="29" t="n">
        <x:v>12</x:v>
      </x:c>
    </x:row>
    <x:row r="8">
      <x:c r="A8" s="38" t="str">
        <x:v>Growth</x:v>
      </x:c>
      <x:c r="B8" s="39" t="str">
        <x:v>For 1d4 hours: size increases one category, Advantage on Strength checks and saves, and once per turn a hit deals an extra 1d4 damage.</x:v>
      </x:c>
      <x:c r="D8" s="28" t="str">
        <x:v>Bombs</x:v>
      </x:c>
      <x:c r="E8" s="29" t="n">
        <x:v>20</x:v>
      </x:c>
    </x:row>
    <x:row r="9">
      <x:c r="A9" s="38" t="str">
        <x:v>Diminution</x:v>
      </x:c>
      <x:c r="B9" s="39" t="str">
        <x:v>For 1d4 hours: size decreases one category, Disadvantage on Strength checks and saves, and once per turn a hit deals 1d4 less damage, minimum 1.</x:v>
      </x:c>
      <x:c r="D9" s="28" t="str">
        <x:v>Elixirs</x:v>
      </x:c>
      <x:c r="E9" s="29" t="n">
        <x:v>26</x:v>
      </x:c>
    </x:row>
    <x:row r="10">
      <x:c r="A10" s="38" t="str">
        <x:v>Heroism</x:v>
      </x:c>
      <x:c r="B10" s="39" t="str">
        <x:v>Requires a Radiant Holy Component. The drinker gains 1d10 temporary hit points, modifiable by ingredients, and is affected by Bless for 1 hour.</x:v>
      </x:c>
      <x:c r="D10" s="30" t="str">
        <x:v>Oils</x:v>
      </x:c>
      <x:c r="E10" s="31" t="n">
        <x:v>22</x:v>
      </x:c>
    </x:row>
    <x:row r="11">
      <x:c r="A11" s="38" t="str">
        <x:v>Ingredient cards</x:v>
      </x:c>
      <x:c r="B11" s="39" t="str">
        <x:v>Player cards should show one family, rarity, one recipe-relevant visible tag, and Brew Impact. Extra tags remain in the catalog but are not all crowded onto the small card.</x:v>
      </x:c>
    </x:row>
    <x:row r="12">
      <x:c r="A12" s="38" t="str">
        <x:v>Bomb Save DC</x:v>
      </x:c>
      <x:c r="B12" s="39" t="str">
        <x:v>8 + (Crafter Proficiency × 2) + ingredient Save DC bonuses; add +1 when the craft check beats the Craft DC by 4 or more.</x:v>
      </x:c>
    </x:row>
    <x:row r="13">
      <x:c r="A13" s="40" t="str">
        <x:v>Bomb area</x:v>
      </x:c>
      <x:c r="B13" s="41" t="str">
        <x:v>Bomb previews display the base area and apply selected Area / Range percentage bonuses.</x:v>
      </x:c>
    </x:row>
  </x:sheetData>
  <x:mergeCells>
    <x:mergeCell ref="A1:I2"/>
    <x:mergeCell ref="A4:I4"/>
  </x:mergeCells>
  <x:pageMargins left="0.7" right="0.7" top="0.75" bottom="0.75" header="0.3" footer="0.3"/>
  <x:drawing xmlns:r="http://schemas.openxmlformats.org/officeDocument/2006/relationships" r:id="R1c0a8fb4995e49a6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28" hidden="0" customWidth="1"/>
    <x:col min="5" max="5" width="32" hidden="0" customWidth="1"/>
    <x:col min="6" max="6" width="48" hidden="0" customWidth="1"/>
    <x:col min="7" max="7" width="64" hidden="0" customWidth="1"/>
  </x:cols>
  <x:sheetData>
    <x:row r="1">
      <x:c r="A1" s="26" t="str">
        <x:v>Slot</x:v>
      </x:c>
      <x:c r="B1" s="46" t="str">
        <x:v>Family</x:v>
      </x:c>
      <x:c r="C1" s="46" t="str">
        <x:v>Rarity</x:v>
      </x:c>
      <x:c r="D1" s="46" t="str">
        <x:v>Ingredient</x:v>
      </x:c>
      <x:c r="E1" s="46" t="str">
        <x:v>Visible Tags</x:v>
      </x:c>
      <x:c r="F1" s="46" t="str">
        <x:v>Brew Impact</x:v>
      </x:c>
      <x:c r="G1" s="27" t="str">
        <x:v>Physical Description</x:v>
      </x:c>
    </x:row>
    <x:row r="2">
      <x:c r="A2" s="38" t="str">
        <x:v>Core</x:v>
      </x:c>
      <x:c r="B2" s="51" t="str">
        <x:v>Mushroom</x:v>
      </x:c>
      <x:c r="C2" s="51" t="str">
        <x:v>Common</x:v>
      </x:c>
      <x:c r="D2" s="51" t="str">
        <x:v>Bramblecup Fungus</x:v>
      </x:c>
      <x:c r="E2" s="51" t="str"/>
      <x:c r="F2" s="51" t="str">
        <x:v>No Craft DC reduction; Effect +25%</x:v>
      </x:c>
      <x:c r="G2" s="39" t="str">
        <x:v>A russet cup fungus with thornlike ridges around its rim. Its flesh is chewy, its underside feels like suede, and it smells of crushed hazelnuts and damp hedgewood.</x:v>
      </x:c>
    </x:row>
    <x:row r="3">
      <x:c r="A3" s="38" t="str">
        <x:v>Core</x:v>
      </x:c>
      <x:c r="B3" s="51" t="str">
        <x:v>Mushroom</x:v>
      </x:c>
      <x:c r="C3" s="51" t="str">
        <x:v>Common</x:v>
      </x:c>
      <x:c r="D3" s="51" t="str">
        <x:v>Candlecap</x:v>
      </x:c>
      <x:c r="E3" s="51" t="str"/>
      <x:c r="F3" s="51" t="str">
        <x:v>No Craft DC reduction; Effect +25%</x:v>
      </x:c>
      <x:c r="G3" s="39" t="str">
        <x:v>A thumb-sized ivory cap with a waxy rim that catches light like a candle. It feels cool and slick, smells of beeswax and damp cedar, and squeaks faintly when cut.</x:v>
      </x:c>
    </x:row>
    <x:row r="4">
      <x:c r="A4" s="38" t="str">
        <x:v>Core</x:v>
      </x:c>
      <x:c r="B4" s="51" t="str">
        <x:v>Mushroom</x:v>
      </x:c>
      <x:c r="C4" s="51" t="str">
        <x:v>Common</x:v>
      </x:c>
      <x:c r="D4" s="51" t="str">
        <x:v>Dewbutton Cap</x:v>
      </x:c>
      <x:c r="E4" s="51" t="str"/>
      <x:c r="F4" s="51" t="str">
        <x:v>No Craft DC reduction; Duration +25%</x:v>
      </x:c>
      <x:c r="G4" s="39" t="str">
        <x:v>Tiny pearl-gray caps bead with cool water even in dry rooms. They smell of rain on slate and fresh bread yeast, and pop softly between the fingers.</x:v>
      </x:c>
    </x:row>
    <x:row r="5">
      <x:c r="A5" s="38" t="str">
        <x:v>Core</x:v>
      </x:c>
      <x:c r="B5" s="51" t="str">
        <x:v>Mushroom</x:v>
      </x:c>
      <x:c r="C5" s="51" t="str">
        <x:v>Common</x:v>
      </x:c>
      <x:c r="D5" s="51" t="str">
        <x:v>Hearthcap Mushroom</x:v>
      </x:c>
      <x:c r="E5" s="51" t="str"/>
      <x:c r="F5" s="51" t="str">
        <x:v>No Craft DC reduction; Effect +25%</x:v>
      </x:c>
      <x:c r="G5" s="39" t="str">
        <x:v>A squat brown cap with warm rust freckles and cream gills. It smells like hearth smoke over damp soil, and the stem feels spongy but firm.</x:v>
      </x:c>
    </x:row>
    <x:row r="6">
      <x:c r="A6" s="38" t="str">
        <x:v>Core</x:v>
      </x:c>
      <x:c r="B6" s="51" t="str">
        <x:v>Mushroom</x:v>
      </x:c>
      <x:c r="C6" s="51" t="str">
        <x:v>Common</x:v>
      </x:c>
      <x:c r="D6" s="51" t="str">
        <x:v>Mossbutton</x:v>
      </x:c>
      <x:c r="E6" s="51" t="str"/>
      <x:c r="F6" s="51" t="str">
        <x:v>No Craft DC reduction; Duration +25%</x:v>
      </x:c>
      <x:c r="G6" s="39" t="str">
        <x:v>A round olive cap cushioned in velvet fuzz. It compresses like wet felt, smells of mossy stone and nutmeg, and leaves green dust beneath the nails.</x:v>
      </x:c>
    </x:row>
    <x:row r="7">
      <x:c r="A7" s="38" t="str">
        <x:v>Core</x:v>
      </x:c>
      <x:c r="B7" s="51" t="str">
        <x:v>Mushroom</x:v>
      </x:c>
      <x:c r="C7" s="51" t="str">
        <x:v>Uncommon</x:v>
      </x:c>
      <x:c r="D7" s="51" t="str">
        <x:v>Cluster Puffball</x:v>
      </x:c>
      <x:c r="E7" s="51" t="str"/>
      <x:c r="F7" s="51" t="str">
        <x:v>Craft DC -2; Effect +25%; +1 Extra Dose</x:v>
      </x:c>
      <x:c r="G7" s="39" t="str">
        <x:v>A knot of soft round puffballs that sighs out chalky spores when tapped. The dust smells dry, nutty, and faintly medicinal.</x:v>
      </x:c>
    </x:row>
    <x:row r="8">
      <x:c r="A8" s="38" t="str">
        <x:v>Core</x:v>
      </x:c>
      <x:c r="B8" s="51" t="str">
        <x:v>Mushroom</x:v>
      </x:c>
      <x:c r="C8" s="51" t="str">
        <x:v>Uncommon</x:v>
      </x:c>
      <x:c r="D8" s="51" t="str">
        <x:v>Embergill Mushroom</x:v>
      </x:c>
      <x:c r="E8" s="51" t="str">
        <x:v>Fire</x:v>
      </x:c>
      <x:c r="F8" s="51" t="str">
        <x:v>Craft DC -2; Effect +25%; Duration +50%</x:v>
      </x:c>
      <x:c r="G8" s="39" t="str">
        <x:v>A russet mushroom with orange gills that glow like banked coals. Its stem is warm and fibrous, and it smells of toasted grain, pepper, and wet bark.</x:v>
      </x:c>
    </x:row>
    <x:row r="9">
      <x:c r="A9" s="38" t="str">
        <x:v>Core</x:v>
      </x:c>
      <x:c r="B9" s="51" t="str">
        <x:v>Mushroom</x:v>
      </x:c>
      <x:c r="C9" s="51" t="str">
        <x:v>Uncommon</x:v>
      </x:c>
      <x:c r="D9" s="51" t="str">
        <x:v>Ghostcap Mushroom</x:v>
      </x:c>
      <x:c r="E9" s="51" t="str"/>
      <x:c r="F9" s="51" t="str">
        <x:v>Craft DC -2; Effect +50%; Duration +25%</x:v>
      </x:c>
      <x:c r="G9" s="39" t="str">
        <x:v>A translucent white cap with a smoky blue center and thread-fine gills. It is cold to the touch and carries a faint scent of cellar stone, mint, and wet linen.</x:v>
      </x:c>
    </x:row>
    <x:row r="10">
      <x:c r="A10" s="38" t="str">
        <x:v>Core</x:v>
      </x:c>
      <x:c r="B10" s="51" t="str">
        <x:v>Mushroom</x:v>
      </x:c>
      <x:c r="C10" s="51" t="str">
        <x:v>Uncommon</x:v>
      </x:c>
      <x:c r="D10" s="51" t="str">
        <x:v>Moonmilk Fungus</x:v>
      </x:c>
      <x:c r="E10" s="51" t="str"/>
      <x:c r="F10" s="51" t="str">
        <x:v>Craft DC -2; Effect +75%</x:v>
      </x:c>
      <x:c r="G10" s="39" t="str">
        <x:v>A pale blue-white fungus with milky beads forming along the gills. It smells cool and sweet, like rainwater in a stone bowl.</x:v>
      </x:c>
    </x:row>
    <x:row r="11">
      <x:c r="A11" s="38" t="str">
        <x:v>Core</x:v>
      </x:c>
      <x:c r="B11" s="51" t="str">
        <x:v>Mushroom</x:v>
      </x:c>
      <x:c r="C11" s="51" t="str">
        <x:v>Uncommon</x:v>
      </x:c>
      <x:c r="D11" s="51" t="str">
        <x:v>Silverbell Fungus</x:v>
      </x:c>
      <x:c r="E11" s="51" t="str"/>
      <x:c r="F11" s="51" t="str">
        <x:v>Craft DC -2; Effect +25%; Save DC +1</x:v>
      </x:c>
      <x:c r="G11" s="39" t="str">
        <x:v>A cluster of silver bell-shaped caps with glassy edges. They chime softly when shaken and smell of cold rain, mushrooms, and crushed mint.</x:v>
      </x:c>
    </x:row>
    <x:row r="12">
      <x:c r="A12" s="38" t="str">
        <x:v>Core</x:v>
      </x:c>
      <x:c r="B12" s="51" t="str">
        <x:v>Mushroom</x:v>
      </x:c>
      <x:c r="C12" s="51" t="str">
        <x:v>Rare</x:v>
      </x:c>
      <x:c r="D12" s="51" t="str">
        <x:v>Cloudcap Spore</x:v>
      </x:c>
      <x:c r="E12" s="51" t="str"/>
      <x:c r="F12" s="51" t="str">
        <x:v>Craft DC -4; Effect +75%; Duration +25%</x:v>
      </x:c>
      <x:c r="G12" s="39" t="str">
        <x:v>A broad pale mushroom dusted with silver spores that drift upward instead of falling. It feels light as cork and smells of cool fog, bitter tea, and pine bark.</x:v>
      </x:c>
    </x:row>
    <x:row r="13">
      <x:c r="A13" s="38" t="str">
        <x:v>Core</x:v>
      </x:c>
      <x:c r="B13" s="51" t="str">
        <x:v>Mushroom</x:v>
      </x:c>
      <x:c r="C13" s="51" t="str">
        <x:v>Rare</x:v>
      </x:c>
      <x:c r="D13" s="51" t="str">
        <x:v>Dreamspore Morel</x:v>
      </x:c>
      <x:c r="E13" s="51" t="str">
        <x:v>Confusion, Psychic, Mind</x:v>
      </x:c>
      <x:c r="F13" s="51" t="str">
        <x:v>Craft DC -4; Die step +1</x:v>
      </x:c>
      <x:c r="G13" s="39" t="str">
        <x:v>A tall indigo morel whose honeycomb pits hold drifting violet spores. It feels dry as paper and smells of lavender smoke, dark soil, and old books.</x:v>
      </x:c>
    </x:row>
    <x:row r="14">
      <x:c r="A14" s="38" t="str">
        <x:v>Core</x:v>
      </x:c>
      <x:c r="B14" s="51" t="str">
        <x:v>Mushroom</x:v>
      </x:c>
      <x:c r="C14" s="51" t="str">
        <x:v>Rare</x:v>
      </x:c>
      <x:c r="D14" s="51" t="str">
        <x:v>King's Redcap</x:v>
      </x:c>
      <x:c r="E14" s="51" t="str"/>
      <x:c r="F14" s="51" t="str">
        <x:v>Craft DC -4; Effect +100%</x:v>
      </x:c>
      <x:c r="G14" s="39" t="str">
        <x:v>A crimson-capped fungus with black speckles and thick ivory flesh. When sliced, it stains the blade red and smells of bitter loam and iron-rich rain.</x:v>
      </x:c>
    </x:row>
    <x:row r="15">
      <x:c r="A15" s="38" t="str">
        <x:v>Core</x:v>
      </x:c>
      <x:c r="B15" s="51" t="str">
        <x:v>Mushroom</x:v>
      </x:c>
      <x:c r="C15" s="51" t="str">
        <x:v>Rare</x:v>
      </x:c>
      <x:c r="D15" s="51" t="str">
        <x:v>Twin-Bloom Mycelium</x:v>
      </x:c>
      <x:c r="E15" s="51" t="str"/>
      <x:c r="F15" s="51" t="str">
        <x:v>Craft DC -4; Effect +50%; +1 Extra Dose</x:v>
      </x:c>
      <x:c r="G15" s="39" t="str">
        <x:v>Two small caps grow from the same silver-white thread mass. The paired blooms smell earthy and sweet, and their spores cling like flour.</x:v>
      </x:c>
    </x:row>
    <x:row r="16">
      <x:c r="A16" s="38" t="str">
        <x:v>Core</x:v>
      </x:c>
      <x:c r="B16" s="51" t="str">
        <x:v>Mushroom</x:v>
      </x:c>
      <x:c r="C16" s="51" t="str">
        <x:v>Very Rare</x:v>
      </x:c>
      <x:c r="D16" s="51" t="str">
        <x:v>Crowncap Polypore</x:v>
      </x:c>
      <x:c r="E16" s="51" t="str"/>
      <x:c r="F16" s="51" t="str">
        <x:v>Craft DC -6; Effect +125%</x:v>
      </x:c>
      <x:c r="G16" s="39" t="str">
        <x:v>A shelf-like golden fungus with red lacquered bands. Its underside is dry and powdery, with a warm smell of toasted grain, cedar resin, and rich cellar earth.</x:v>
      </x:c>
    </x:row>
    <x:row r="17">
      <x:c r="A17" s="38" t="str">
        <x:v>Core</x:v>
      </x:c>
      <x:c r="B17" s="51" t="str">
        <x:v>Mushroom</x:v>
      </x:c>
      <x:c r="C17" s="51" t="str">
        <x:v>Very Rare</x:v>
      </x:c>
      <x:c r="D17" s="51" t="str">
        <x:v>Oracle's Crown</x:v>
      </x:c>
      <x:c r="E17" s="51" t="str"/>
      <x:c r="F17" s="51" t="str">
        <x:v>Craft DC -6; Effect +75%; +2 Extra Doses</x:v>
      </x:c>
      <x:c r="G17" s="39" t="str">
        <x:v>A crown of translucent blue caps joined by luminous white mycelium. The gills pulse when touched, tasting faintly of salt and honey while smelling of ozone before rain.</x:v>
      </x:c>
    </x:row>
    <x:row r="18">
      <x:c r="A18" s="38" t="str">
        <x:v>Core</x:v>
      </x:c>
      <x:c r="B18" s="51" t="str">
        <x:v>Mushroom</x:v>
      </x:c>
      <x:c r="C18" s="51" t="str">
        <x:v>Very Rare</x:v>
      </x:c>
      <x:c r="D18" s="51" t="str">
        <x:v>Phoenix Truffle</x:v>
      </x:c>
      <x:c r="E18" s="51" t="str"/>
      <x:c r="F18" s="51" t="str">
        <x:v>Craft DC -6; Effect +75%; Duration +50%</x:v>
      </x:c>
      <x:c r="G18" s="39" t="str">
        <x:v>A coal-black truffle veined with ember orange. It is warm to the touch and smells of scorched cedar, rich soil, and hot spice.</x:v>
      </x:c>
    </x:row>
    <x:row r="19">
      <x:c r="A19" s="38" t="str">
        <x:v>Core</x:v>
      </x:c>
      <x:c r="B19" s="51" t="str">
        <x:v>Mushroom</x:v>
      </x:c>
      <x:c r="C19" s="51" t="str">
        <x:v>Very Rare</x:v>
      </x:c>
      <x:c r="D19" s="51" t="str">
        <x:v>Saint's Veil Cap</x:v>
      </x:c>
      <x:c r="E19" s="51" t="str"/>
      <x:c r="F19" s="51" t="str">
        <x:v>Craft DC -6; Effect +25%; Die step +1</x:v>
      </x:c>
      <x:c r="G19" s="39" t="str">
        <x:v>A thin white cap draped like lace over luminous gills. It gives off a clean, chapel-wax scent and leaves a soft gold dust on the fingers.</x:v>
      </x:c>
    </x:row>
    <x:row r="20">
      <x:c r="A20" s="38" t="str">
        <x:v>Core</x:v>
      </x:c>
      <x:c r="B20" s="51" t="str">
        <x:v>Root</x:v>
      </x:c>
      <x:c r="C20" s="51" t="str">
        <x:v>Common</x:v>
      </x:c>
      <x:c r="D20" s="51" t="str">
        <x:v>Bittercoil Root</x:v>
      </x:c>
      <x:c r="E20" s="51" t="str"/>
      <x:c r="F20" s="51" t="str">
        <x:v>No Craft DC reduction; Duration +25%</x:v>
      </x:c>
      <x:c r="G20" s="39" t="str">
        <x:v>A tightly spiraled black-brown root with a waxy skin. Its cut surface is yellow and intensely bitter, smelling of coffee grounds, bark, and sharp medicinal oil.</x:v>
      </x:c>
    </x:row>
    <x:row r="21">
      <x:c r="A21" s="38" t="str">
        <x:v>Core</x:v>
      </x:c>
      <x:c r="B21" s="51" t="str">
        <x:v>Root</x:v>
      </x:c>
      <x:c r="C21" s="51" t="str">
        <x:v>Common</x:v>
      </x:c>
      <x:c r="D21" s="51" t="str">
        <x:v>Clayfinger Root</x:v>
      </x:c>
      <x:c r="E21" s="51" t="str"/>
      <x:c r="F21" s="51" t="str">
        <x:v>No Craft DC reduction; Effect +25%</x:v>
      </x:c>
      <x:c r="G21" s="39" t="str">
        <x:v>A bundle of finger-thin tan roots packed with red clay. They snap crisply, stain the hands orange, and smell of pottery earth and raw turnip.</x:v>
      </x:c>
    </x:row>
    <x:row r="22">
      <x:c r="A22" s="38" t="str">
        <x:v>Core</x:v>
      </x:c>
      <x:c r="B22" s="51" t="str">
        <x:v>Root</x:v>
      </x:c>
      <x:c r="C22" s="51" t="str">
        <x:v>Common</x:v>
      </x:c>
      <x:c r="D22" s="51" t="str">
        <x:v>Fieldroot</x:v>
      </x:c>
      <x:c r="E22" s="51" t="str"/>
      <x:c r="F22" s="51" t="str">
        <x:v>No Craft DC reduction; Duration +25%</x:v>
      </x:c>
      <x:c r="G22" s="39" t="str">
        <x:v>A plain tan root with hairlike fibers and a crisp snap. It smells of fresh-dug earth and leaves a bitter, grassy taste.</x:v>
      </x:c>
    </x:row>
    <x:row r="23">
      <x:c r="A23" s="38" t="str">
        <x:v>Core</x:v>
      </x:c>
      <x:c r="B23" s="51" t="str">
        <x:v>Root</x:v>
      </x:c>
      <x:c r="C23" s="51" t="str">
        <x:v>Common</x:v>
      </x:c>
      <x:c r="D23" s="51" t="str">
        <x:v>Marshknuckle Root</x:v>
      </x:c>
      <x:c r="E23" s="51" t="str"/>
      <x:c r="F23" s="51" t="str">
        <x:v>No Craft DC reduction; Effect +25%</x:v>
      </x:c>
      <x:c r="G23" s="39" t="str">
        <x:v>A bulbous green-brown root with jointed ridges and spongy flesh. It smells of brackish water, celery, and peat, leaving a cool slickness on the fingers.</x:v>
      </x:c>
    </x:row>
    <x:row r="24">
      <x:c r="A24" s="38" t="str">
        <x:v>Core</x:v>
      </x:c>
      <x:c r="B24" s="51" t="str">
        <x:v>Root</x:v>
      </x:c>
      <x:c r="C24" s="51" t="str">
        <x:v>Common</x:v>
      </x:c>
      <x:c r="D24" s="51" t="str">
        <x:v>Turnstone Root</x:v>
      </x:c>
      <x:c r="E24" s="51" t="str"/>
      <x:c r="F24" s="51" t="str">
        <x:v>No Craft DC reduction; Duration +25%</x:v>
      </x:c>
      <x:c r="G24" s="39" t="str">
        <x:v>A squat gray root knotted around tiny pebbles. It feels heavy for its size, smells of wet clay and turnip greens, and clicks softly when shaken.</x:v>
      </x:c>
    </x:row>
    <x:row r="25">
      <x:c r="A25" s="38" t="str">
        <x:v>Core</x:v>
      </x:c>
      <x:c r="B25" s="51" t="str">
        <x:v>Root</x:v>
      </x:c>
      <x:c r="C25" s="51" t="str">
        <x:v>Uncommon</x:v>
      </x:c>
      <x:c r="D25" s="51" t="str">
        <x:v>Ambervein Root</x:v>
      </x:c>
      <x:c r="E25" s="51" t="str"/>
      <x:c r="F25" s="51" t="str">
        <x:v>Craft DC -2; Effect +50%; Duration +25%</x:v>
      </x:c>
      <x:c r="G25" s="39" t="str">
        <x:v>A honey-colored root threaded with translucent amber sap. It snaps cleanly, smells of warm resin and sweet earth, and leaves the tongue slightly numb.</x:v>
      </x:c>
    </x:row>
    <x:row r="26">
      <x:c r="A26" s="38" t="str">
        <x:v>Core</x:v>
      </x:c>
      <x:c r="B26" s="51" t="str">
        <x:v>Root</x:v>
      </x:c>
      <x:c r="C26" s="51" t="str">
        <x:v>Uncommon</x:v>
      </x:c>
      <x:c r="D26" s="51" t="str">
        <x:v>Frostcoil Root</x:v>
      </x:c>
      <x:c r="E26" s="51" t="str">
        <x:v>Cold</x:v>
      </x:c>
      <x:c r="F26" s="51" t="str">
        <x:v>Craft DC -2; Effect +25%; Duration +50%</x:v>
      </x:c>
      <x:c r="G26" s="39" t="str">
        <x:v>A pale root curled into a tight spiral beneath a skin of crystalline frost. It is painfully cold and smells of wintergreen, iron, and fresh snow.</x:v>
      </x:c>
    </x:row>
    <x:row r="27">
      <x:c r="A27" s="38" t="str">
        <x:v>Core</x:v>
      </x:c>
      <x:c r="B27" s="51" t="str">
        <x:v>Root</x:v>
      </x:c>
      <x:c r="C27" s="51" t="str">
        <x:v>Uncommon</x:v>
      </x:c>
      <x:c r="D27" s="51" t="str">
        <x:v>Ironroot</x:v>
      </x:c>
      <x:c r="E27" s="51" t="str"/>
      <x:c r="F27" s="51" t="str">
        <x:v>Craft DC -2; Duration +75%</x:v>
      </x:c>
      <x:c r="G27" s="39" t="str">
        <x:v>A dense gray-brown root with dark metallic streaks under the bark. It feels heavy for its size and smells of wet clay and iron.</x:v>
      </x:c>
    </x:row>
    <x:row r="28">
      <x:c r="A28" s="38" t="str">
        <x:v>Core</x:v>
      </x:c>
      <x:c r="B28" s="51" t="str">
        <x:v>Root</x:v>
      </x:c>
      <x:c r="C28" s="51" t="str">
        <x:v>Uncommon</x:v>
      </x:c>
      <x:c r="D28" s="51" t="str">
        <x:v>Knotted Tuber</x:v>
      </x:c>
      <x:c r="E28" s="51" t="str"/>
      <x:c r="F28" s="51" t="str">
        <x:v>Craft DC -2; Duration +25%; +1 Extra Dose</x:v>
      </x:c>
      <x:c r="G28" s="39" t="str">
        <x:v>Several smooth cream tubers grow fused around one central knot. They are heavy with clear sap and smell of potato skin, sweet grass, and clean loam.</x:v>
      </x:c>
    </x:row>
    <x:row r="29">
      <x:c r="A29" s="38" t="str">
        <x:v>Core</x:v>
      </x:c>
      <x:c r="B29" s="51" t="str">
        <x:v>Root</x:v>
      </x:c>
      <x:c r="C29" s="51" t="str">
        <x:v>Uncommon</x:v>
      </x:c>
      <x:c r="D29" s="51" t="str">
        <x:v>Red Hearthroot</x:v>
      </x:c>
      <x:c r="E29" s="51" t="str"/>
      <x:c r="F29" s="51" t="str">
        <x:v>Craft DC -2; Effect +25%; Duration +50%</x:v>
      </x:c>
      <x:c r="G29" s="39" t="str">
        <x:v>A red-veined root that warms slightly in the palm. When shaved, it smells of cinnamon bark, damp soil, and smoke from a banked fire.</x:v>
      </x:c>
    </x:row>
    <x:row r="30">
      <x:c r="A30" s="38" t="str">
        <x:v>Core</x:v>
      </x:c>
      <x:c r="B30" s="51" t="str">
        <x:v>Root</x:v>
      </x:c>
      <x:c r="C30" s="51" t="str">
        <x:v>Rare</x:v>
      </x:c>
      <x:c r="D30" s="51" t="str">
        <x:v>Bloodsap Root</x:v>
      </x:c>
      <x:c r="E30" s="51" t="str"/>
      <x:c r="F30" s="51" t="str">
        <x:v>Craft DC -4; Effect +50%; Duration +50%</x:v>
      </x:c>
      <x:c r="G30" s="39" t="str">
        <x:v>A dark red root that beads warm crimson sap when sliced. Its fibers are dense and elastic, and it smells of iron, cedar, and bruised herbs.</x:v>
      </x:c>
    </x:row>
    <x:row r="31">
      <x:c r="A31" s="38" t="str">
        <x:v>Core</x:v>
      </x:c>
      <x:c r="B31" s="51" t="str">
        <x:v>Root</x:v>
      </x:c>
      <x:c r="C31" s="51" t="str">
        <x:v>Rare</x:v>
      </x:c>
      <x:c r="D31" s="51" t="str">
        <x:v>Giantroot</x:v>
      </x:c>
      <x:c r="E31" s="51" t="str"/>
      <x:c r="F31" s="51" t="str">
        <x:v>Craft DC -4; Duration +100%</x:v>
      </x:c>
      <x:c r="G31" s="39" t="str">
        <x:v>A thick corded root with broad growth rings and rough outer bark. It smells old, woody, and mineral, like roots pulled from a cliffside.</x:v>
      </x:c>
    </x:row>
    <x:row r="32">
      <x:c r="A32" s="38" t="str">
        <x:v>Core</x:v>
      </x:c>
      <x:c r="B32" s="51" t="str">
        <x:v>Root</x:v>
      </x:c>
      <x:c r="C32" s="51" t="str">
        <x:v>Rare</x:v>
      </x:c>
      <x:c r="D32" s="51" t="str">
        <x:v>Heartroot Cluster</x:v>
      </x:c>
      <x:c r="E32" s="51" t="str"/>
      <x:c r="F32" s="51" t="str">
        <x:v>Craft DC -4; Duration +50%; +1 Extra Dose</x:v>
      </x:c>
      <x:c r="G32" s="39" t="str">
        <x:v>Several small roots twist around a red central nub. Cut pieces bead with amber sap and smell of loam, herbs, and warm blood.</x:v>
      </x:c>
    </x:row>
    <x:row r="33">
      <x:c r="A33" s="38" t="str">
        <x:v>Core</x:v>
      </x:c>
      <x:c r="B33" s="51" t="str">
        <x:v>Root</x:v>
      </x:c>
      <x:c r="C33" s="51" t="str">
        <x:v>Rare</x:v>
      </x:c>
      <x:c r="D33" s="51" t="str">
        <x:v>Oathroot</x:v>
      </x:c>
      <x:c r="E33" s="51" t="str">
        <x:v>Paralysis, Nerve, Binding</x:v>
      </x:c>
      <x:c r="F33" s="51" t="str">
        <x:v>Craft DC -4; Die step +1</x:v>
      </x:c>
      <x:c r="G33" s="39" t="str">
        <x:v>A straight black root marked by natural silver rings. It is hard as horn, smells of incense and storm-soaked soil, and tastes sharply mineral.</x:v>
      </x:c>
    </x:row>
    <x:row r="34">
      <x:c r="A34" s="38" t="str">
        <x:v>Core</x:v>
      </x:c>
      <x:c r="B34" s="51" t="str">
        <x:v>Root</x:v>
      </x:c>
      <x:c r="C34" s="51" t="str">
        <x:v>Very Rare</x:v>
      </x:c>
      <x:c r="D34" s="51" t="str">
        <x:v>Dragonheart Root</x:v>
      </x:c>
      <x:c r="E34" s="51" t="str"/>
      <x:c r="F34" s="51" t="str">
        <x:v>Craft DC -6; Duration +75%; +2 Extra Doses</x:v>
      </x:c>
      <x:c r="G34" s="39" t="str">
        <x:v>A thick crimson root with overlapping scales and a warm pulse under its bark. It smells of cinnamon, hot stone, and animal musk, and steams when cut.</x:v>
      </x:c>
    </x:row>
    <x:row r="35">
      <x:c r="A35" s="38" t="str">
        <x:v>Core</x:v>
      </x:c>
      <x:c r="B35" s="51" t="str">
        <x:v>Root</x:v>
      </x:c>
      <x:c r="C35" s="51" t="str">
        <x:v>Very Rare</x:v>
      </x:c>
      <x:c r="D35" s="51" t="str">
        <x:v>Sagevein Root</x:v>
      </x:c>
      <x:c r="E35" s="51" t="str"/>
      <x:c r="F35" s="51" t="str">
        <x:v>Craft DC -6; Effect +50%; Duration +75%</x:v>
      </x:c>
      <x:c r="G35" s="39" t="str">
        <x:v>A pale blue root braided with silver threads. It feels cool and heavy in the hand, smells of rain on old stone, and leaves a clean mineral bite on the tongue.</x:v>
      </x:c>
    </x:row>
    <x:row r="36">
      <x:c r="A36" s="38" t="str">
        <x:v>Core</x:v>
      </x:c>
      <x:c r="B36" s="51" t="str">
        <x:v>Root</x:v>
      </x:c>
      <x:c r="C36" s="51" t="str">
        <x:v>Very Rare</x:v>
      </x:c>
      <x:c r="D36" s="51" t="str">
        <x:v>Titan Root</x:v>
      </x:c>
      <x:c r="E36" s="51" t="str"/>
      <x:c r="F36" s="51" t="str">
        <x:v>Craft DC -6; Duration +25%; Die step +1</x:v>
      </x:c>
      <x:c r="G36" s="39" t="str">
        <x:v>A massive splinter of root with stone-hard grain and a peppery bite. It smells of crushed bark, mountain soil, and animal musk.</x:v>
      </x:c>
    </x:row>
    <x:row r="37">
      <x:c r="A37" s="38" t="str">
        <x:v>Core</x:v>
      </x:c>
      <x:c r="B37" s="51" t="str">
        <x:v>Root</x:v>
      </x:c>
      <x:c r="C37" s="51" t="str">
        <x:v>Very Rare</x:v>
      </x:c>
      <x:c r="D37" s="51" t="str">
        <x:v>Worldroot Knot</x:v>
      </x:c>
      <x:c r="E37" s="51" t="str"/>
      <x:c r="F37" s="51" t="str">
        <x:v>Craft DC -6; Duration +125%</x:v>
      </x:c>
      <x:c r="G37" s="39" t="str">
        <x:v>A dark knot of root threaded with pale gold lines. It seems to pulse faintly in water and smells of ancient forests after rain.</x:v>
      </x:c>
    </x:row>
    <x:row r="38">
      <x:c r="A38" s="38" t="str">
        <x:v>Core</x:v>
      </x:c>
      <x:c r="B38" s="51" t="str">
        <x:v>Sap / Resin</x:v>
      </x:c>
      <x:c r="C38" s="51" t="str">
        <x:v>Common</x:v>
      </x:c>
      <x:c r="D38" s="51" t="str">
        <x:v>Birch Tear</x:v>
      </x:c>
      <x:c r="E38" s="51" t="str"/>
      <x:c r="F38" s="51" t="str">
        <x:v>No Craft DC reduction; Effect +25%</x:v>
      </x:c>
      <x:c r="G38" s="39" t="str">
        <x:v>A cloudy bead of pale birch resin that softens in body heat. It smells sweet and green, with hints of winter bark and clean smoke.</x:v>
      </x:c>
    </x:row>
    <x:row r="39">
      <x:c r="A39" s="38" t="str">
        <x:v>Core</x:v>
      </x:c>
      <x:c r="B39" s="51" t="str">
        <x:v>Sap / Resin</x:v>
      </x:c>
      <x:c r="C39" s="51" t="str">
        <x:v>Common</x:v>
      </x:c>
      <x:c r="D39" s="51" t="str">
        <x:v>Firblood Pitch</x:v>
      </x:c>
      <x:c r="E39" s="51" t="str"/>
      <x:c r="F39" s="51" t="str">
        <x:v>No Craft DC reduction; Effect +25%</x:v>
      </x:c>
      <x:c r="G39" s="39" t="str">
        <x:v>A dark red pitch that beads slowly from fir bark. It is sticky and warm, smelling of pine smoke, bitter citrus, and fresh-cut timber.</x:v>
      </x:c>
    </x:row>
    <x:row r="40">
      <x:c r="A40" s="38" t="str">
        <x:v>Core</x:v>
      </x:c>
      <x:c r="B40" s="51" t="str">
        <x:v>Sap / Resin</x:v>
      </x:c>
      <x:c r="C40" s="51" t="str">
        <x:v>Common</x:v>
      </x:c>
      <x:c r="D40" s="51" t="str">
        <x:v>Pine Pitch</x:v>
      </x:c>
      <x:c r="E40" s="51" t="str"/>
      <x:c r="F40" s="51" t="str">
        <x:v>No Craft DC reduction; Duration +25%</x:v>
      </x:c>
      <x:c r="G40" s="39" t="str">
        <x:v>Sticky golden pitch that strings between fingers. It smells sharply of pine needles, clean resin, and smoke-warmed bark.</x:v>
      </x:c>
    </x:row>
    <x:row r="41">
      <x:c r="A41" s="38" t="str">
        <x:v>Core</x:v>
      </x:c>
      <x:c r="B41" s="51" t="str">
        <x:v>Sap / Resin</x:v>
      </x:c>
      <x:c r="C41" s="51" t="str">
        <x:v>Common</x:v>
      </x:c>
      <x:c r="D41" s="51" t="str">
        <x:v>Reedgum</x:v>
      </x:c>
      <x:c r="E41" s="51" t="str"/>
      <x:c r="F41" s="51" t="str">
        <x:v>No Craft DC reduction; Duration +25%</x:v>
      </x:c>
      <x:c r="G41" s="39" t="str">
        <x:v>Amber-green gum scraped from marsh reeds in flexible ribbons. It is tacky, faintly salty, and smells of cut grass, pond water, and warm sugar.</x:v>
      </x:c>
    </x:row>
    <x:row r="42">
      <x:c r="A42" s="38" t="str">
        <x:v>Core</x:v>
      </x:c>
      <x:c r="B42" s="51" t="str">
        <x:v>Sap / Resin</x:v>
      </x:c>
      <x:c r="C42" s="51" t="str">
        <x:v>Common</x:v>
      </x:c>
      <x:c r="D42" s="51" t="str">
        <x:v>Willow Gum</x:v>
      </x:c>
      <x:c r="E42" s="51" t="str"/>
      <x:c r="F42" s="51" t="str">
        <x:v>No Craft DC reduction; Duration +25%</x:v>
      </x:c>
      <x:c r="G42" s="39" t="str">
        <x:v>A clear-green gum that stretches into fine threads between the fingers. It smells of cut willow, cucumber, and river water, with a mildly sweet taste.</x:v>
      </x:c>
    </x:row>
    <x:row r="43">
      <x:c r="A43" s="38" t="str">
        <x:v>Core</x:v>
      </x:c>
      <x:c r="B43" s="51" t="str">
        <x:v>Sap / Resin</x:v>
      </x:c>
      <x:c r="C43" s="51" t="str">
        <x:v>Uncommon</x:v>
      </x:c>
      <x:c r="D43" s="51" t="str">
        <x:v>Amber Sap</x:v>
      </x:c>
      <x:c r="E43" s="51" t="str"/>
      <x:c r="F43" s="51" t="str">
        <x:v>Craft DC -2; Duration +75%</x:v>
      </x:c>
      <x:c r="G43" s="39" t="str">
        <x:v>A honey-colored sap sealed in soft wax. It smells sweet, green, and medicinal, and it clings to glass in slow bright streaks.</x:v>
      </x:c>
    </x:row>
    <x:row r="44">
      <x:c r="A44" s="38" t="str">
        <x:v>Core</x:v>
      </x:c>
      <x:c r="B44" s="51" t="str">
        <x:v>Sap / Resin</x:v>
      </x:c>
      <x:c r="C44" s="51" t="str">
        <x:v>Uncommon</x:v>
      </x:c>
      <x:c r="D44" s="51" t="str">
        <x:v>Glassgum Resin</x:v>
      </x:c>
      <x:c r="E44" s="51" t="str"/>
      <x:c r="F44" s="51" t="str">
        <x:v>Craft DC -2; Effect +50%; Duration +25%</x:v>
      </x:c>
      <x:c r="G44" s="39" t="str">
        <x:v>A clear resin bead that cracks like sugar glass. When warmed, it smells of minty sap and leaves a shining film on the spoon.</x:v>
      </x:c>
    </x:row>
    <x:row r="45">
      <x:c r="A45" s="38" t="str">
        <x:v>Core</x:v>
      </x:c>
      <x:c r="B45" s="51" t="str">
        <x:v>Sap / Resin</x:v>
      </x:c>
      <x:c r="C45" s="51" t="str">
        <x:v>Uncommon</x:v>
      </x:c>
      <x:c r="D45" s="51" t="str">
        <x:v>Honey Resin</x:v>
      </x:c>
      <x:c r="E45" s="51" t="str"/>
      <x:c r="F45" s="51" t="str">
        <x:v>Craft DC -2; Duration +25%; +1 Extra Dose</x:v>
      </x:c>
      <x:c r="G45" s="39" t="str">
        <x:v>A soft gold resin filled with tiny air bubbles. It stretches into threads, tastes faintly floral, and smells of beeswax, clover, and sun-warmed wood.</x:v>
      </x:c>
    </x:row>
    <x:row r="46">
      <x:c r="A46" s="38" t="str">
        <x:v>Core</x:v>
      </x:c>
      <x:c r="B46" s="51" t="str">
        <x:v>Sap / Resin</x:v>
      </x:c>
      <x:c r="C46" s="51" t="str">
        <x:v>Uncommon</x:v>
      </x:c>
      <x:c r="D46" s="51" t="str">
        <x:v>Moonpine Resin</x:v>
      </x:c>
      <x:c r="E46" s="51" t="str"/>
      <x:c r="F46" s="51" t="str">
        <x:v>Craft DC -2; Effect +25%; Duration +50%</x:v>
      </x:c>
      <x:c r="G46" s="39" t="str">
        <x:v>A pearl-blue resin that glows softly in darkness. It is smooth as glass when cool, smells of pine needles and moonlit frost, and melts at body heat.</x:v>
      </x:c>
    </x:row>
    <x:row r="47">
      <x:c r="A47" s="38" t="str">
        <x:v>Core</x:v>
      </x:c>
      <x:c r="B47" s="51" t="str">
        <x:v>Sap / Resin</x:v>
      </x:c>
      <x:c r="C47" s="51" t="str">
        <x:v>Uncommon</x:v>
      </x:c>
      <x:c r="D47" s="51" t="str">
        <x:v>Sweetbark Amber</x:v>
      </x:c>
      <x:c r="E47" s="51" t="str"/>
      <x:c r="F47" s="51" t="str">
        <x:v>Craft DC -2; Effect +25%; Duration +50%</x:v>
      </x:c>
      <x:c r="G47" s="39" t="str">
        <x:v>Golden amber tears with tiny bubbles trapped inside. They crack like hard candy, smell of vanilla bark and honey, and leave a lingering warm sweetness.</x:v>
      </x:c>
    </x:row>
    <x:row r="48">
      <x:c r="A48" s="38" t="str">
        <x:v>Core</x:v>
      </x:c>
      <x:c r="B48" s="51" t="str">
        <x:v>Sap / Resin</x:v>
      </x:c>
      <x:c r="C48" s="51" t="str">
        <x:v>Rare</x:v>
      </x:c>
      <x:c r="D48" s="51" t="str">
        <x:v>Aetherglass Sap</x:v>
      </x:c>
      <x:c r="E48" s="51" t="str"/>
      <x:c r="F48" s="51" t="str">
        <x:v>Craft DC -4; Effect +25%; Duration +75%</x:v>
      </x:c>
      <x:c r="G48" s="39" t="str">
        <x:v>Nearly transparent sap with tiny star-like bubbles suspended inside. It feels cool, slick, and smells faintly of ozone and green wood.</x:v>
      </x:c>
    </x:row>
    <x:row r="49">
      <x:c r="A49" s="38" t="str">
        <x:v>Core</x:v>
      </x:c>
      <x:c r="B49" s="51" t="str">
        <x:v>Sap / Resin</x:v>
      </x:c>
      <x:c r="C49" s="51" t="str">
        <x:v>Rare</x:v>
      </x:c>
      <x:c r="D49" s="51" t="str">
        <x:v>Ghostglass Sap</x:v>
      </x:c>
      <x:c r="E49" s="51" t="str"/>
      <x:c r="F49" s="51" t="str">
        <x:v>Craft DC -4; Effect +50%; Duration +50%</x:v>
      </x:c>
      <x:c r="G49" s="39" t="str">
        <x:v>A colorless sap visible only where it bends the light. It feels dry despite being fluid and smells of cold stone, clean linen, and distant rain.</x:v>
      </x:c>
    </x:row>
    <x:row r="50">
      <x:c r="A50" s="38" t="str">
        <x:v>Core</x:v>
      </x:c>
      <x:c r="B50" s="51" t="str">
        <x:v>Sap / Resin</x:v>
      </x:c>
      <x:c r="C50" s="51" t="str">
        <x:v>Rare</x:v>
      </x:c>
      <x:c r="D50" s="51" t="str">
        <x:v>Mirrorgum</x:v>
      </x:c>
      <x:c r="E50" s="51" t="str">
        <x:v>Restraint, Binding</x:v>
      </x:c>
      <x:c r="F50" s="51" t="str">
        <x:v>Craft DC -4; Duration +50%; +1 Extra Dose</x:v>
      </x:c>
      <x:c r="G50" s="39" t="str">
        <x:v>A clear resin that hardens to a glassy shine but bends without cracking. It smells of citrus peel, polished wood, and a trace of ozone.</x:v>
      </x:c>
    </x:row>
    <x:row r="51">
      <x:c r="A51" s="38" t="str">
        <x:v>Core</x:v>
      </x:c>
      <x:c r="B51" s="51" t="str">
        <x:v>Sap / Resin</x:v>
      </x:c>
      <x:c r="C51" s="51" t="str">
        <x:v>Rare</x:v>
      </x:c>
      <x:c r="D51" s="51" t="str">
        <x:v>Sunamber Resin</x:v>
      </x:c>
      <x:c r="E51" s="51" t="str"/>
      <x:c r="F51" s="51" t="str">
        <x:v>Craft DC -4; Duration +100%</x:v>
      </x:c>
      <x:c r="G51" s="39" t="str">
        <x:v>A deep orange resin that glows under flame-light. It smells of hot pine, dried citrus peel, and old wooden temples.</x:v>
      </x:c>
    </x:row>
    <x:row r="52">
      <x:c r="A52" s="38" t="str">
        <x:v>Core</x:v>
      </x:c>
      <x:c r="B52" s="51" t="str">
        <x:v>Sap / Resin</x:v>
      </x:c>
      <x:c r="C52" s="51" t="str">
        <x:v>Very Rare</x:v>
      </x:c>
      <x:c r="D52" s="51" t="str">
        <x:v>Elder Amber Resin</x:v>
      </x:c>
      <x:c r="E52" s="51" t="str"/>
      <x:c r="F52" s="51" t="str">
        <x:v>Craft DC -6; Duration +125%</x:v>
      </x:c>
      <x:c r="G52" s="39" t="str">
        <x:v>A dark honey resin with ancient bark flakes trapped inside. Its smell is deep, sweet, and smoky, like incense burned in a cedar hall.</x:v>
      </x:c>
    </x:row>
    <x:row r="53">
      <x:c r="A53" s="38" t="str">
        <x:v>Core</x:v>
      </x:c>
      <x:c r="B53" s="51" t="str">
        <x:v>Sap / Resin</x:v>
      </x:c>
      <x:c r="C53" s="51" t="str">
        <x:v>Very Rare</x:v>
      </x:c>
      <x:c r="D53" s="51" t="str">
        <x:v>Kingsap Amber</x:v>
      </x:c>
      <x:c r="E53" s="51" t="str"/>
      <x:c r="F53" s="51" t="str">
        <x:v>Craft DC -6; Effect +75%; +2 Extra Doses</x:v>
      </x:c>
      <x:c r="G53" s="39" t="str">
        <x:v>Deep red-gold amber with slow-moving flecks suspended inside. It warms when held and smells of old cedar chests, incense, and ripe fruit.</x:v>
      </x:c>
    </x:row>
    <x:row r="54">
      <x:c r="A54" s="38" t="str">
        <x:v>Core</x:v>
      </x:c>
      <x:c r="B54" s="51" t="str">
        <x:v>Sap / Resin</x:v>
      </x:c>
      <x:c r="C54" s="51" t="str">
        <x:v>Very Rare</x:v>
      </x:c>
      <x:c r="D54" s="51" t="str">
        <x:v>Myrrh of the First Grove</x:v>
      </x:c>
      <x:c r="E54" s="51" t="str"/>
      <x:c r="F54" s="51" t="str">
        <x:v>Craft DC -6; Effect +75%; Duration +50%</x:v>
      </x:c>
      <x:c r="G54" s="39" t="str">
        <x:v>A sacred brown resin with silver flecks and a slow fragrant smoke when warmed. It smells of myrrh, rain, and living wood.</x:v>
      </x:c>
    </x:row>
    <x:row r="55">
      <x:c r="A55" s="38" t="str">
        <x:v>Core</x:v>
      </x:c>
      <x:c r="B55" s="51" t="str">
        <x:v>Sap / Resin</x:v>
      </x:c>
      <x:c r="C55" s="51" t="str">
        <x:v>Very Rare</x:v>
      </x:c>
      <x:c r="D55" s="51" t="str">
        <x:v>Timebound Myrrh</x:v>
      </x:c>
      <x:c r="E55" s="51" t="str"/>
      <x:c r="F55" s="51" t="str">
        <x:v>Craft DC -6; Duration +25%; Die step +1</x:v>
      </x:c>
      <x:c r="G55" s="39" t="str">
        <x:v>Black-violet resin that drips upward when uncorked. It smells of ancient cedar, bitter wine, and temple smoke, and leaves a slow heartbeat sensation in the palm.</x:v>
      </x:c>
    </x:row>
    <x:row r="56">
      <x:c r="A56" s="38" t="str">
        <x:v>Core</x:v>
      </x:c>
      <x:c r="B56" s="51" t="str">
        <x:v>Moss / Lichen</x:v>
      </x:c>
      <x:c r="C56" s="51" t="str">
        <x:v>Common</x:v>
      </x:c>
      <x:c r="D56" s="51" t="str">
        <x:v>Ashwall Lichen</x:v>
      </x:c>
      <x:c r="E56" s="51" t="str"/>
      <x:c r="F56" s="51" t="str">
        <x:v>No Craft DC reduction; Area / Range +25%</x:v>
      </x:c>
      <x:c r="G56" s="39" t="str">
        <x:v>Flat gray lichen with white scalloped edges, usually peeled from old hearthstones. It is papery and dry, smelling of ash, chalk, and faint smoke.</x:v>
      </x:c>
    </x:row>
    <x:row r="57">
      <x:c r="A57" s="38" t="str">
        <x:v>Core</x:v>
      </x:c>
      <x:c r="B57" s="51" t="str">
        <x:v>Moss / Lichen</x:v>
      </x:c>
      <x:c r="C57" s="51" t="str">
        <x:v>Common</x:v>
      </x:c>
      <x:c r="D57" s="51" t="str">
        <x:v>Brookmoss</x:v>
      </x:c>
      <x:c r="E57" s="51" t="str"/>
      <x:c r="F57" s="51" t="str">
        <x:v>No Craft DC reduction; Effect +25%</x:v>
      </x:c>
      <x:c r="G57" s="39" t="str">
        <x:v>Fine emerald moss that stays slick with cold water. It feels like wet velvet and smells of river stones, fern shade, and clean mud.</x:v>
      </x:c>
    </x:row>
    <x:row r="58">
      <x:c r="A58" s="38" t="str">
        <x:v>Core</x:v>
      </x:c>
      <x:c r="B58" s="51" t="str">
        <x:v>Moss / Lichen</x:v>
      </x:c>
      <x:c r="C58" s="51" t="str">
        <x:v>Common</x:v>
      </x:c>
      <x:c r="D58" s="51" t="str">
        <x:v>Cavern Moss</x:v>
      </x:c>
      <x:c r="E58" s="51" t="str"/>
      <x:c r="F58" s="51" t="str">
        <x:v>No Craft DC reduction; Duration +25%</x:v>
      </x:c>
      <x:c r="G58" s="39" t="str">
        <x:v>A cool green mat with grit caught in its underside. It smells of cave water, wet stone, and shaded bark.</x:v>
      </x:c>
    </x:row>
    <x:row r="59">
      <x:c r="A59" s="38" t="str">
        <x:v>Core</x:v>
      </x:c>
      <x:c r="B59" s="51" t="str">
        <x:v>Moss / Lichen</x:v>
      </x:c>
      <x:c r="C59" s="51" t="str">
        <x:v>Common</x:v>
      </x:c>
      <x:c r="D59" s="51" t="str">
        <x:v>Lantern Moss</x:v>
      </x:c>
      <x:c r="E59" s="51" t="str"/>
      <x:c r="F59" s="51" t="str">
        <x:v>No Craft DC reduction; Duration +25%</x:v>
      </x:c>
      <x:c r="G59" s="39" t="str">
        <x:v>Soft yellow-green moss tipped with pinpricks of pale light. It feels like warm velvet and smells of rainwater, melon rind, and cave stone.</x:v>
      </x:c>
    </x:row>
    <x:row r="60">
      <x:c r="A60" s="38" t="str">
        <x:v>Core</x:v>
      </x:c>
      <x:c r="B60" s="51" t="str">
        <x:v>Moss / Lichen</x:v>
      </x:c>
      <x:c r="C60" s="51" t="str">
        <x:v>Common</x:v>
      </x:c>
      <x:c r="D60" s="51" t="str">
        <x:v>Roofscale Lichen</x:v>
      </x:c>
      <x:c r="E60" s="51" t="str"/>
      <x:c r="F60" s="51" t="str">
        <x:v>No Craft DC reduction; Effect +25%</x:v>
      </x:c>
      <x:c r="G60" s="39" t="str">
        <x:v>Flat gray scales that cling to old shingles and ruin walls. They peel like thin leather and smell of dust, lime, and sun-warmed slate.</x:v>
      </x:c>
    </x:row>
    <x:row r="61">
      <x:c r="A61" s="38" t="str">
        <x:v>Core</x:v>
      </x:c>
      <x:c r="B61" s="51" t="str">
        <x:v>Moss / Lichen</x:v>
      </x:c>
      <x:c r="C61" s="51" t="str">
        <x:v>Uncommon</x:v>
      </x:c>
      <x:c r="D61" s="51" t="str">
        <x:v>Bedmoss</x:v>
      </x:c>
      <x:c r="E61" s="51" t="str"/>
      <x:c r="F61" s="51" t="str">
        <x:v>Craft DC -2; Duration +25%; +1 Extra Dose</x:v>
      </x:c>
      <x:c r="G61" s="39" t="str">
        <x:v>A thick cushion of springy blue-green moss that slowly regains its shape when pressed. It smells of cool caves, linen, and fresh mushrooms.</x:v>
      </x:c>
    </x:row>
    <x:row r="62">
      <x:c r="A62" s="38" t="str">
        <x:v>Core</x:v>
      </x:c>
      <x:c r="B62" s="51" t="str">
        <x:v>Moss / Lichen</x:v>
      </x:c>
      <x:c r="C62" s="51" t="str">
        <x:v>Uncommon</x:v>
      </x:c>
      <x:c r="D62" s="51" t="str">
        <x:v>Cliffgrip Lichen</x:v>
      </x:c>
      <x:c r="E62" s="51" t="str"/>
      <x:c r="F62" s="51" t="str">
        <x:v>Craft DC -2; Effect +25%; Duration +50%</x:v>
      </x:c>
      <x:c r="G62" s="39" t="str">
        <x:v>A leathery orange lichen that clings hard to stone chips. It smells dry, sharp, and mineral, with a chalky taste.</x:v>
      </x:c>
    </x:row>
    <x:row r="63">
      <x:c r="A63" s="38" t="str">
        <x:v>Core</x:v>
      </x:c>
      <x:c r="B63" s="51" t="str">
        <x:v>Moss / Lichen</x:v>
      </x:c>
      <x:c r="C63" s="51" t="str">
        <x:v>Uncommon</x:v>
      </x:c>
      <x:c r="D63" s="51" t="str">
        <x:v>Frostlace Lichen</x:v>
      </x:c>
      <x:c r="E63" s="51" t="str">
        <x:v>Cold</x:v>
      </x:c>
      <x:c r="F63" s="51" t="str">
        <x:v>Craft DC -2; Effect +50%; Duration +25%</x:v>
      </x:c>
      <x:c r="G63" s="39" t="str">
        <x:v>Fine white branching lichen patterned like frozen lace. It crackles under a thumb and smells of mint, chalk, and snowmelt.</x:v>
      </x:c>
    </x:row>
    <x:row r="64">
      <x:c r="A64" s="38" t="str">
        <x:v>Core</x:v>
      </x:c>
      <x:c r="B64" s="51" t="str">
        <x:v>Moss / Lichen</x:v>
      </x:c>
      <x:c r="C64" s="51" t="str">
        <x:v>Uncommon</x:v>
      </x:c>
      <x:c r="D64" s="51" t="str">
        <x:v>Redveil Moss</x:v>
      </x:c>
      <x:c r="E64" s="51" t="str"/>
      <x:c r="F64" s="51" t="str">
        <x:v>Craft DC -2; Duration +25%; Area / Range +50%</x:v>
      </x:c>
      <x:c r="G64" s="39" t="str">
        <x:v>A wine-red moss that hangs in sheer curtains from shaded stone. It feels silky, smells of berries and damp iron, and stains water pink.</x:v>
      </x:c>
    </x:row>
    <x:row r="65">
      <x:c r="A65" s="38" t="str">
        <x:v>Core</x:v>
      </x:c>
      <x:c r="B65" s="51" t="str">
        <x:v>Moss / Lichen</x:v>
      </x:c>
      <x:c r="C65" s="51" t="str">
        <x:v>Uncommon</x:v>
      </x:c>
      <x:c r="D65" s="51" t="str">
        <x:v>Wardmoss</x:v>
      </x:c>
      <x:c r="E65" s="51" t="str"/>
      <x:c r="F65" s="51" t="str">
        <x:v>Craft DC -2; Duration +75%</x:v>
      </x:c>
      <x:c r="G65" s="39" t="str">
        <x:v>Dense blue-green moss that curls inward when touched. Its scent is clean and cold, like a cellar spring running over slate.</x:v>
      </x:c>
    </x:row>
    <x:row r="66">
      <x:c r="A66" s="38" t="str">
        <x:v>Core</x:v>
      </x:c>
      <x:c r="B66" s="51" t="str">
        <x:v>Moss / Lichen</x:v>
      </x:c>
      <x:c r="C66" s="51" t="str">
        <x:v>Rare</x:v>
      </x:c>
      <x:c r="D66" s="51" t="str">
        <x:v>Deepmoss Colony</x:v>
      </x:c>
      <x:c r="E66" s="51" t="str"/>
      <x:c r="F66" s="51" t="str">
        <x:v>Craft DC -4; Duration +100%</x:v>
      </x:c>
      <x:c r="G66" s="39" t="str">
        <x:v>A thick black-green moss with pale roots and cold dew in its folds. It smells of deep caves and ancient wood rot.</x:v>
      </x:c>
    </x:row>
    <x:row r="67">
      <x:c r="A67" s="38" t="str">
        <x:v>Core</x:v>
      </x:c>
      <x:c r="B67" s="51" t="str">
        <x:v>Moss / Lichen</x:v>
      </x:c>
      <x:c r="C67" s="51" t="str">
        <x:v>Rare</x:v>
      </x:c>
      <x:c r="D67" s="51" t="str">
        <x:v>Diamondvein Lichen</x:v>
      </x:c>
      <x:c r="E67" s="51" t="str"/>
      <x:c r="F67" s="51" t="str">
        <x:v>Craft DC -4; Effect +75%; Duration +25%</x:v>
      </x:c>
      <x:c r="G67" s="39" t="str">
        <x:v>Dark lichen crossed by glittering crystal threads. It feels brittle until soaked and smells like rain striking quartz.</x:v>
      </x:c>
    </x:row>
    <x:row r="68">
      <x:c r="A68" s="38" t="str">
        <x:v>Core</x:v>
      </x:c>
      <x:c r="B68" s="51" t="str">
        <x:v>Moss / Lichen</x:v>
      </x:c>
      <x:c r="C68" s="51" t="str">
        <x:v>Rare</x:v>
      </x:c>
      <x:c r="D68" s="51" t="str">
        <x:v>Sporeveil Moss</x:v>
      </x:c>
      <x:c r="E68" s="51" t="str"/>
      <x:c r="F68" s="51" t="str">
        <x:v>Craft DC -4; Duration +50%; Area / Range +50%</x:v>
      </x:c>
      <x:c r="G68" s="39" t="str">
        <x:v>Dark moss threaded with pale sacs that release a hovering mist when disturbed. It smells of wet wool, stone dust, and mild pepper.</x:v>
      </x:c>
    </x:row>
    <x:row r="69">
      <x:c r="A69" s="38" t="str">
        <x:v>Core</x:v>
      </x:c>
      <x:c r="B69" s="51" t="str">
        <x:v>Moss / Lichen</x:v>
      </x:c>
      <x:c r="C69" s="51" t="str">
        <x:v>Rare</x:v>
      </x:c>
      <x:c r="D69" s="51" t="str">
        <x:v>Whispermoss Colony</x:v>
      </x:c>
      <x:c r="E69" s="51" t="str"/>
      <x:c r="F69" s="51" t="str">
        <x:v>Craft DC -4; Effect +50%; +1 Extra Dose</x:v>
      </x:c>
      <x:c r="G69" s="39" t="str">
        <x:v>A thick bed of blue moss that rustles without wind. It feels cool and springy, smells of deep wells and cedar, and repeats nearby whispers as faint breath.</x:v>
      </x:c>
    </x:row>
    <x:row r="70">
      <x:c r="A70" s="38" t="str">
        <x:v>Core</x:v>
      </x:c>
      <x:c r="B70" s="51" t="str">
        <x:v>Moss / Lichen</x:v>
      </x:c>
      <x:c r="C70" s="51" t="str">
        <x:v>Very Rare</x:v>
      </x:c>
      <x:c r="D70" s="51" t="str">
        <x:v>Ageglass Lichen</x:v>
      </x:c>
      <x:c r="E70" s="51" t="str"/>
      <x:c r="F70" s="51" t="str">
        <x:v>Craft DC -6; Effect +75%; +2 Extra Doses</x:v>
      </x:c>
      <x:c r="G70" s="39" t="str">
        <x:v>A translucent lichen sheet like frosted glass. It crackles softly when bent and smells of old ruins, dust, and spring water.</x:v>
      </x:c>
    </x:row>
    <x:row r="71">
      <x:c r="A71" s="38" t="str">
        <x:v>Core</x:v>
      </x:c>
      <x:c r="B71" s="51" t="str">
        <x:v>Moss / Lichen</x:v>
      </x:c>
      <x:c r="C71" s="51" t="str">
        <x:v>Very Rare</x:v>
      </x:c>
      <x:c r="D71" s="51" t="str">
        <x:v>Crownstar Lichen</x:v>
      </x:c>
      <x:c r="E71" s="51" t="str"/>
      <x:c r="F71" s="51" t="str">
        <x:v>Craft DC -6; Duration +50%; Area / Range +75%</x:v>
      </x:c>
      <x:c r="G71" s="39" t="str">
        <x:v>A many-pointed golden lichen that grows only on exposed peaks. It feels warm in sunlight, smells of clean ozone and alpine flowers, and glitters when breathed upon.</x:v>
      </x:c>
    </x:row>
    <x:row r="72">
      <x:c r="A72" s="38" t="str">
        <x:v>Core</x:v>
      </x:c>
      <x:c r="B72" s="51" t="str">
        <x:v>Moss / Lichen</x:v>
      </x:c>
      <x:c r="C72" s="51" t="str">
        <x:v>Very Rare</x:v>
      </x:c>
      <x:c r="D72" s="51" t="str">
        <x:v>Dreamwatch Lichen</x:v>
      </x:c>
      <x:c r="E72" s="51" t="str">
        <x:v>Fear, Mind, Psychic</x:v>
      </x:c>
      <x:c r="F72" s="51" t="str">
        <x:v>Craft DC -6; Effect +125%</x:v>
      </x:c>
      <x:c r="G72" s="39" t="str">
        <x:v>A soft violet lichen that grows in eye-shaped rings. It feels like damp velvet, smells of moonlit bark and cold air, and leaves a faint tingling behind the eyes.</x:v>
      </x:c>
    </x:row>
    <x:row r="73">
      <x:c r="A73" s="38" t="str">
        <x:v>Core</x:v>
      </x:c>
      <x:c r="B73" s="51" t="str">
        <x:v>Moss / Lichen</x:v>
      </x:c>
      <x:c r="C73" s="51" t="str">
        <x:v>Very Rare</x:v>
      </x:c>
      <x:c r="D73" s="51" t="str">
        <x:v>Starmoss</x:v>
      </x:c>
      <x:c r="E73" s="51" t="str"/>
      <x:c r="F73" s="51" t="str">
        <x:v>Craft DC -6; Duration +125%</x:v>
      </x:c>
      <x:c r="G73" s="39" t="str">
        <x:v>A silver-specked moss that glimmers in dim light. It smells of night air, clean stone, and the first rain after drought.</x:v>
      </x:c>
    </x:row>
    <x:row r="74">
      <x:c r="A74" s="38" t="str">
        <x:v>Core</x:v>
      </x:c>
      <x:c r="B74" s="51" t="str">
        <x:v>Flower</x:v>
      </x:c>
      <x:c r="C74" s="51" t="str">
        <x:v>Common</x:v>
      </x:c>
      <x:c r="D74" s="51" t="str">
        <x:v>Bluecup Flower</x:v>
      </x:c>
      <x:c r="E74" s="51" t="str"/>
      <x:c r="F74" s="51" t="str">
        <x:v>No Craft DC reduction; Effect +25%</x:v>
      </x:c>
      <x:c r="G74" s="39" t="str">
        <x:v>A small cobalt cup with a white throat and cool waxy petals. It smells of rain, green apple, and fresh-cut grass, leaving blue pollen on the nose.</x:v>
      </x:c>
    </x:row>
    <x:row r="75">
      <x:c r="A75" s="38" t="str">
        <x:v>Core</x:v>
      </x:c>
      <x:c r="B75" s="51" t="str">
        <x:v>Flower</x:v>
      </x:c>
      <x:c r="C75" s="51" t="str">
        <x:v>Common</x:v>
      </x:c>
      <x:c r="D75" s="51" t="str">
        <x:v>Field Bloom</x:v>
      </x:c>
      <x:c r="E75" s="51" t="str"/>
      <x:c r="F75" s="51" t="str">
        <x:v>No Craft DC reduction; Effect +25%</x:v>
      </x:c>
      <x:c r="G75" s="39" t="str">
        <x:v>A small yellow-white flower with soft pollen and a hay-sweet smell. Its petals bruise easily under the thumb.</x:v>
      </x:c>
    </x:row>
    <x:row r="76">
      <x:c r="A76" s="38" t="str">
        <x:v>Core</x:v>
      </x:c>
      <x:c r="B76" s="51" t="str">
        <x:v>Flower</x:v>
      </x:c>
      <x:c r="C76" s="51" t="str">
        <x:v>Common</x:v>
      </x:c>
      <x:c r="D76" s="51" t="str">
        <x:v>Goldthread Daisy</x:v>
      </x:c>
      <x:c r="E76" s="51" t="str"/>
      <x:c r="F76" s="51" t="str">
        <x:v>No Craft DC reduction; Duration +25%</x:v>
      </x:c>
      <x:c r="G76" s="39" t="str">
        <x:v>A white daisy crossed by hair-thin golden veins. Its petals feel papery and smell of chamomile, honey, and sun-warmed hay.</x:v>
      </x:c>
    </x:row>
    <x:row r="77">
      <x:c r="A77" s="38" t="str">
        <x:v>Core</x:v>
      </x:c>
      <x:c r="B77" s="51" t="str">
        <x:v>Flower</x:v>
      </x:c>
      <x:c r="C77" s="51" t="str">
        <x:v>Common</x:v>
      </x:c>
      <x:c r="D77" s="51" t="str">
        <x:v>Rainbell Flower</x:v>
      </x:c>
      <x:c r="E77" s="51" t="str"/>
      <x:c r="F77" s="51" t="str">
        <x:v>No Craft DC reduction; Duration +25%</x:v>
      </x:c>
      <x:c r="G77" s="39" t="str">
        <x:v>A small blue bell flower that holds a single clear droplet beneath each bloom. Its petals feel cool and waxy and smell of rainfall and cucumber peel.</x:v>
      </x:c>
    </x:row>
    <x:row r="78">
      <x:c r="A78" s="38" t="str">
        <x:v>Core</x:v>
      </x:c>
      <x:c r="B78" s="51" t="str">
        <x:v>Flower</x:v>
      </x:c>
      <x:c r="C78" s="51" t="str">
        <x:v>Common</x:v>
      </x:c>
      <x:c r="D78" s="51" t="str">
        <x:v>Whiteclover Star</x:v>
      </x:c>
      <x:c r="E78" s="51" t="str"/>
      <x:c r="F78" s="51" t="str">
        <x:v>No Craft DC reduction; Area / Range +25%</x:v>
      </x:c>
      <x:c r="G78" s="39" t="str">
        <x:v>A five-pointed white blossom growing above soft clover leaves. It smells of milk, sweet hay, and honey, with a faint grassy taste.</x:v>
      </x:c>
    </x:row>
    <x:row r="79">
      <x:c r="A79" s="38" t="str">
        <x:v>Core</x:v>
      </x:c>
      <x:c r="B79" s="51" t="str">
        <x:v>Flower</x:v>
      </x:c>
      <x:c r="C79" s="51" t="str">
        <x:v>Uncommon</x:v>
      </x:c>
      <x:c r="D79" s="51" t="str">
        <x:v>Ashen Rose</x:v>
      </x:c>
      <x:c r="E79" s="51" t="str"/>
      <x:c r="F79" s="51" t="str">
        <x:v>Craft DC -2; Effect +25%; Area / Range +50%</x:v>
      </x:c>
      <x:c r="G79" s="39" t="str">
        <x:v>A charcoal-gray rose with ember-red edges. Its petals are warm and velvety, smelling of smoke, clove, and dark cherries.</x:v>
      </x:c>
    </x:row>
    <x:row r="80">
      <x:c r="A80" s="38" t="str">
        <x:v>Core</x:v>
      </x:c>
      <x:c r="B80" s="51" t="str">
        <x:v>Flower</x:v>
      </x:c>
      <x:c r="C80" s="51" t="str">
        <x:v>Uncommon</x:v>
      </x:c>
      <x:c r="D80" s="51" t="str">
        <x:v>Dreamlotus Bloom</x:v>
      </x:c>
      <x:c r="E80" s="51" t="str"/>
      <x:c r="F80" s="51" t="str">
        <x:v>Craft DC -2; Effect +25%; Save DC +1</x:v>
      </x:c>
      <x:c r="G80" s="39" t="str">
        <x:v>A violet lotus with pollen that sparkles like sleep-dust. Its scent is sweet, heavy, and just sharp enough to make the eyes water.</x:v>
      </x:c>
    </x:row>
    <x:row r="81">
      <x:c r="A81" s="38" t="str">
        <x:v>Core</x:v>
      </x:c>
      <x:c r="B81" s="51" t="str">
        <x:v>Flower</x:v>
      </x:c>
      <x:c r="C81" s="51" t="str">
        <x:v>Uncommon</x:v>
      </x:c>
      <x:c r="D81" s="51" t="str">
        <x:v>Pollenburst Daisy</x:v>
      </x:c>
      <x:c r="E81" s="51" t="str"/>
      <x:c r="F81" s="51" t="str">
        <x:v>Craft DC -2; Area / Range +75%</x:v>
      </x:c>
      <x:c r="G81" s="39" t="str">
        <x:v>A bright yellow daisy with an oversized powdery center. A touch releases a golden puff that smells of citrus, dry grass, and pepper.</x:v>
      </x:c>
    </x:row>
    <x:row r="82">
      <x:c r="A82" s="38" t="str">
        <x:v>Core</x:v>
      </x:c>
      <x:c r="B82" s="51" t="str">
        <x:v>Flower</x:v>
      </x:c>
      <x:c r="C82" s="51" t="str">
        <x:v>Uncommon</x:v>
      </x:c>
      <x:c r="D82" s="51" t="str">
        <x:v>Sunmend Marigold</x:v>
      </x:c>
      <x:c r="E82" s="51" t="str"/>
      <x:c r="F82" s="51" t="str">
        <x:v>Craft DC -2; Effect +50%; Duration +25%</x:v>
      </x:c>
      <x:c r="G82" s="39" t="str">
        <x:v>A bright orange blossom with warm petals and golden pollen. It smells of honey, cut grass, and clean bandages.</x:v>
      </x:c>
    </x:row>
    <x:row r="83">
      <x:c r="A83" s="38" t="str">
        <x:v>Core</x:v>
      </x:c>
      <x:c r="B83" s="51" t="str">
        <x:v>Flower</x:v>
      </x:c>
      <x:c r="C83" s="51" t="str">
        <x:v>Uncommon</x:v>
      </x:c>
      <x:c r="D83" s="51" t="str">
        <x:v>Whisperbell</x:v>
      </x:c>
      <x:c r="E83" s="51" t="str"/>
      <x:c r="F83" s="51" t="str">
        <x:v>Craft DC -2; Duration +25%; Save DC +1</x:v>
      </x:c>
      <x:c r="G83" s="39" t="str">
        <x:v>A pale lilac bell flower whose petals tremble near spoken words. It smells of violets and cool dust and gives a faint chiming note when plucked.</x:v>
      </x:c>
    </x:row>
    <x:row r="84">
      <x:c r="A84" s="38" t="str">
        <x:v>Core</x:v>
      </x:c>
      <x:c r="B84" s="51" t="str">
        <x:v>Flower</x:v>
      </x:c>
      <x:c r="C84" s="51" t="str">
        <x:v>Rare</x:v>
      </x:c>
      <x:c r="D84" s="51" t="str">
        <x:v>Fey Orchid</x:v>
      </x:c>
      <x:c r="E84" s="51" t="str">
        <x:v>Charm, Fey, Mind</x:v>
      </x:c>
      <x:c r="F84" s="51" t="str">
        <x:v>Craft DC -4; Effect +50%; Save DC +1</x:v>
      </x:c>
      <x:c r="G84" s="39" t="str">
        <x:v>A twisting orchid with blue-pink petals and luminous veins. It smells beautiful at first, then strange, like perfume from a dream.</x:v>
      </x:c>
    </x:row>
    <x:row r="85">
      <x:c r="A85" s="38" t="str">
        <x:v>Core</x:v>
      </x:c>
      <x:c r="B85" s="51" t="str">
        <x:v>Flower</x:v>
      </x:c>
      <x:c r="C85" s="51" t="str">
        <x:v>Rare</x:v>
      </x:c>
      <x:c r="D85" s="51" t="str">
        <x:v>Moonrose</x:v>
      </x:c>
      <x:c r="E85" s="51" t="str"/>
      <x:c r="F85" s="51" t="str">
        <x:v>Craft DC -4; Duration +50%; Save DC +1</x:v>
      </x:c>
      <x:c r="G85" s="39" t="str">
        <x:v>A pale lavender rose whose petals darken under direct sunlight. Its scent is cool, floral, and slightly metallic, lingering on the tongue like mint.</x:v>
      </x:c>
    </x:row>
    <x:row r="86">
      <x:c r="A86" s="38" t="str">
        <x:v>Core</x:v>
      </x:c>
      <x:c r="B86" s="51" t="str">
        <x:v>Flower</x:v>
      </x:c>
      <x:c r="C86" s="51" t="str">
        <x:v>Rare</x:v>
      </x:c>
      <x:c r="D86" s="51" t="str">
        <x:v>Starwake Orchid</x:v>
      </x:c>
      <x:c r="E86" s="51" t="str"/>
      <x:c r="F86" s="51" t="str">
        <x:v>Craft DC -4; Effect +50%; Duration +50%</x:v>
      </x:c>
      <x:c r="G86" s="39" t="str">
        <x:v>A deep blue orchid speckled like a night sky. Its petals feel cool and slick, smell of jasmine and ozone, and open only beneath starlight.</x:v>
      </x:c>
    </x:row>
    <x:row r="87">
      <x:c r="A87" s="38" t="str">
        <x:v>Core</x:v>
      </x:c>
      <x:c r="B87" s="51" t="str">
        <x:v>Flower</x:v>
      </x:c>
      <x:c r="C87" s="51" t="str">
        <x:v>Rare</x:v>
      </x:c>
      <x:c r="D87" s="51" t="str">
        <x:v>Thunderbell Blossom</x:v>
      </x:c>
      <x:c r="E87" s="51" t="str">
        <x:v>Thunder, Sound</x:v>
      </x:c>
      <x:c r="F87" s="51" t="str">
        <x:v>Craft DC -4; Effect +75%; Area / Range +25%</x:v>
      </x:c>
      <x:c r="G87" s="39" t="str">
        <x:v>A bell-shaped purple flower that trembles near loud sounds. It smells of rain, copper, and crushed petals.</x:v>
      </x:c>
    </x:row>
    <x:row r="88">
      <x:c r="A88" s="38" t="str">
        <x:v>Core</x:v>
      </x:c>
      <x:c r="B88" s="51" t="str">
        <x:v>Flower</x:v>
      </x:c>
      <x:c r="C88" s="51" t="str">
        <x:v>Very Rare</x:v>
      </x:c>
      <x:c r="D88" s="51" t="str">
        <x:v>Halo Lily</x:v>
      </x:c>
      <x:c r="E88" s="51" t="str">
        <x:v>Radiant, Holy</x:v>
      </x:c>
      <x:c r="F88" s="51" t="str">
        <x:v>Craft DC -6; Effect +125%</x:v>
      </x:c>
      <x:c r="G88" s="39" t="str">
        <x:v>A white lily with a ring of gold light at the throat. It smells of lilies, sun-warmed linen, and faint temple incense.</x:v>
      </x:c>
    </x:row>
    <x:row r="89">
      <x:c r="A89" s="38" t="str">
        <x:v>Core</x:v>
      </x:c>
      <x:c r="B89" s="51" t="str">
        <x:v>Flower</x:v>
      </x:c>
      <x:c r="C89" s="51" t="str">
        <x:v>Very Rare</x:v>
      </x:c>
      <x:c r="D89" s="51" t="str">
        <x:v>Oracle Lotus</x:v>
      </x:c>
      <x:c r="E89" s="51" t="str"/>
      <x:c r="F89" s="51" t="str">
        <x:v>Craft DC -6; Effect +25%; Die step +1</x:v>
      </x:c>
      <x:c r="G89" s="39" t="str">
        <x:v>A luminous white lotus with a shifting violet center. It smells differently to each observer—often incense, rain, or childhood flowers—and its pollen sparkles in the air.</x:v>
      </x:c>
    </x:row>
    <x:row r="90">
      <x:c r="A90" s="38" t="str">
        <x:v>Core</x:v>
      </x:c>
      <x:c r="B90" s="51" t="str">
        <x:v>Flower</x:v>
      </x:c>
      <x:c r="C90" s="51" t="str">
        <x:v>Very Rare</x:v>
      </x:c>
      <x:c r="D90" s="51" t="str">
        <x:v>Queen's Dreamlotus</x:v>
      </x:c>
      <x:c r="E90" s="51" t="str"/>
      <x:c r="F90" s="51" t="str">
        <x:v>Craft DC -6; Effect +25%; Save DC +3</x:v>
      </x:c>
      <x:c r="G90" s="39" t="str">
        <x:v>A midnight lotus with silver pollen and petals soft as velvet. Its fragrance is intoxicating, royal, and difficult to forget.</x:v>
      </x:c>
    </x:row>
    <x:row r="91">
      <x:c r="A91" s="38" t="str">
        <x:v>Core</x:v>
      </x:c>
      <x:c r="B91" s="51" t="str">
        <x:v>Flower</x:v>
      </x:c>
      <x:c r="C91" s="51" t="str">
        <x:v>Very Rare</x:v>
      </x:c>
      <x:c r="D91" s="51" t="str">
        <x:v>Starseer Lily</x:v>
      </x:c>
      <x:c r="E91" s="51" t="str"/>
      <x:c r="F91" s="51" t="str">
        <x:v>Craft DC -6; Effect +75%; Save DC +2</x:v>
      </x:c>
      <x:c r="G91" s="39" t="str">
        <x:v>A deep indigo lily flecked with tiny silver specks. Its petals feel cool as glass, and its fragrance shifts between lavender, candle smoke, and distant rain.</x:v>
      </x:c>
    </x:row>
    <x:row r="92">
      <x:c r="A92" s="38" t="str">
        <x:v>Core</x:v>
      </x:c>
      <x:c r="B92" s="51" t="str">
        <x:v>Leaf / Vine</x:v>
      </x:c>
      <x:c r="C92" s="51" t="str">
        <x:v>Common</x:v>
      </x:c>
      <x:c r="D92" s="51" t="str">
        <x:v>Bluecurl Leaf</x:v>
      </x:c>
      <x:c r="E92" s="51" t="str"/>
      <x:c r="F92" s="51" t="str">
        <x:v>No Craft DC reduction; Effect +25%</x:v>
      </x:c>
      <x:c r="G92" s="39" t="str">
        <x:v>A narrow blue-green leaf curled into a loose spiral. It is crisp, tastes of mint and celery, and smells of cold wind through grass.</x:v>
      </x:c>
    </x:row>
    <x:row r="93">
      <x:c r="A93" s="38" t="str">
        <x:v>Core</x:v>
      </x:c>
      <x:c r="B93" s="51" t="str">
        <x:v>Leaf / Vine</x:v>
      </x:c>
      <x:c r="C93" s="51" t="str">
        <x:v>Common</x:v>
      </x:c>
      <x:c r="D93" s="51" t="str">
        <x:v>Curlvine Tendril</x:v>
      </x:c>
      <x:c r="E93" s="51" t="str"/>
      <x:c r="F93" s="51" t="str">
        <x:v>No Craft DC reduction; Effect +25%</x:v>
      </x:c>
      <x:c r="G93" s="39" t="str">
        <x:v>A green tendril coiled like a watch spring. It grips warm skin gently, smells of cucumber and wet rope, and tastes sharply herbal.</x:v>
      </x:c>
    </x:row>
    <x:row r="94">
      <x:c r="A94" s="38" t="str">
        <x:v>Core</x:v>
      </x:c>
      <x:c r="B94" s="51" t="str">
        <x:v>Leaf / Vine</x:v>
      </x:c>
      <x:c r="C94" s="51" t="str">
        <x:v>Common</x:v>
      </x:c>
      <x:c r="D94" s="51" t="str">
        <x:v>Greenleaf</x:v>
      </x:c>
      <x:c r="E94" s="51" t="str"/>
      <x:c r="F94" s="51" t="str">
        <x:v>No Craft DC reduction; Duration +25%</x:v>
      </x:c>
      <x:c r="G94" s="39" t="str">
        <x:v>A crisp green leaf with pale veins and a fresh snap. It smells grassy, peppery, and clean.</x:v>
      </x:c>
    </x:row>
    <x:row r="95">
      <x:c r="A95" s="38" t="str">
        <x:v>Core</x:v>
      </x:c>
      <x:c r="B95" s="51" t="str">
        <x:v>Leaf / Vine</x:v>
      </x:c>
      <x:c r="C95" s="51" t="str">
        <x:v>Common</x:v>
      </x:c>
      <x:c r="D95" s="51" t="str">
        <x:v>Silvergrass Blade</x:v>
      </x:c>
      <x:c r="E95" s="51" t="str"/>
      <x:c r="F95" s="51" t="str">
        <x:v>No Craft DC reduction; Duration +25%</x:v>
      </x:c>
      <x:c r="G95" s="39" t="str">
        <x:v>A long grass blade with a silver underside and razor-fine edge. It feels cool and springy, smells of lemon peel and open fields, and hums in a breeze.</x:v>
      </x:c>
    </x:row>
    <x:row r="96">
      <x:c r="A96" s="38" t="str">
        <x:v>Core</x:v>
      </x:c>
      <x:c r="B96" s="51" t="str">
        <x:v>Leaf / Vine</x:v>
      </x:c>
      <x:c r="C96" s="51" t="str">
        <x:v>Common</x:v>
      </x:c>
      <x:c r="D96" s="51" t="str">
        <x:v>Stonevine Sprig</x:v>
      </x:c>
      <x:c r="E96" s="51" t="str"/>
      <x:c r="F96" s="51" t="str">
        <x:v>No Craft DC reduction; Area / Range +25%</x:v>
      </x:c>
      <x:c r="G96" s="39" t="str">
        <x:v>A gray vine segment with rough bark and flexible silver fibers inside. It smells of crushed ivy, limestone, and rain-dark wood.</x:v>
      </x:c>
    </x:row>
    <x:row r="97">
      <x:c r="A97" s="38" t="str">
        <x:v>Core</x:v>
      </x:c>
      <x:c r="B97" s="51" t="str">
        <x:v>Leaf / Vine</x:v>
      </x:c>
      <x:c r="C97" s="51" t="str">
        <x:v>Uncommon</x:v>
      </x:c>
      <x:c r="D97" s="51" t="str">
        <x:v>Breathvine</x:v>
      </x:c>
      <x:c r="E97" s="51" t="str"/>
      <x:c r="F97" s="51" t="str">
        <x:v>Craft DC -2; Effect +25%; Duration +50%</x:v>
      </x:c>
      <x:c r="G97" s="39" t="str">
        <x:v>A hollow blue vine that slowly inflates and deflates after cutting. It smells of mint, salt air, and clean water, with a cool vapor inside.</x:v>
      </x:c>
    </x:row>
    <x:row r="98">
      <x:c r="A98" s="38" t="str">
        <x:v>Core</x:v>
      </x:c>
      <x:c r="B98" s="51" t="str">
        <x:v>Leaf / Vine</x:v>
      </x:c>
      <x:c r="C98" s="51" t="str">
        <x:v>Uncommon</x:v>
      </x:c>
      <x:c r="D98" s="51" t="str">
        <x:v>Gripsap Vine</x:v>
      </x:c>
      <x:c r="E98" s="51" t="str"/>
      <x:c r="F98" s="51" t="str">
        <x:v>Craft DC -2; Duration +75%</x:v>
      </x:c>
      <x:c r="G98" s="39" t="str">
        <x:v>A sticky vine cutting with tiny gripping hairs along the stem. It smells of green sap, wet rope, and crushed nettle.</x:v>
      </x:c>
    </x:row>
    <x:row r="99">
      <x:c r="A99" s="38" t="str">
        <x:v>Core</x:v>
      </x:c>
      <x:c r="B99" s="51" t="str">
        <x:v>Leaf / Vine</x:v>
      </x:c>
      <x:c r="C99" s="51" t="str">
        <x:v>Uncommon</x:v>
      </x:c>
      <x:c r="D99" s="51" t="str">
        <x:v>Hawkstep Leaf</x:v>
      </x:c>
      <x:c r="E99" s="51" t="str"/>
      <x:c r="F99" s="51" t="str">
        <x:v>Craft DC -2; Duration +25%; Area / Range +50%</x:v>
      </x:c>
      <x:c r="G99" s="39" t="str">
        <x:v>A narrow bronze-green leaf marked like a bird's talon. It is dry and crisp, smells of sage and hot stone, and tingles against the soles.</x:v>
      </x:c>
    </x:row>
    <x:row r="100">
      <x:c r="A100" s="38" t="str">
        <x:v>Core</x:v>
      </x:c>
      <x:c r="B100" s="51" t="str">
        <x:v>Leaf / Vine</x:v>
      </x:c>
      <x:c r="C100" s="51" t="str">
        <x:v>Uncommon</x:v>
      </x:c>
      <x:c r="D100" s="51" t="str">
        <x:v>Swiftleaf</x:v>
      </x:c>
      <x:c r="E100" s="51" t="str"/>
      <x:c r="F100" s="51" t="str">
        <x:v>Craft DC -2; Effect +75%</x:v>
      </x:c>
      <x:c r="G100" s="39" t="str">
        <x:v>A narrow leaf that curls and uncurls when touched. Its scent is sharp, minty, and wakeful.</x:v>
      </x:c>
    </x:row>
    <x:row r="101">
      <x:c r="A101" s="38" t="str">
        <x:v>Core</x:v>
      </x:c>
      <x:c r="B101" s="51" t="str">
        <x:v>Leaf / Vine</x:v>
      </x:c>
      <x:c r="C101" s="51" t="str">
        <x:v>Uncommon</x:v>
      </x:c>
      <x:c r="D101" s="51" t="str">
        <x:v>Twinfrond</x:v>
      </x:c>
      <x:c r="E101" s="51" t="str"/>
      <x:c r="F101" s="51" t="str">
        <x:v>Craft DC -2; Effect +50%; Duration +25%</x:v>
      </x:c>
      <x:c r="G101" s="39" t="str">
        <x:v>Two mirrored fern fronds grow from a single copper stem. Their surfaces feel silky and smell of green tea, damp bark, and faint citrus.</x:v>
      </x:c>
    </x:row>
    <x:row r="102">
      <x:c r="A102" s="38" t="str">
        <x:v>Core</x:v>
      </x:c>
      <x:c r="B102" s="51" t="str">
        <x:v>Leaf / Vine</x:v>
      </x:c>
      <x:c r="C102" s="51" t="str">
        <x:v>Rare</x:v>
      </x:c>
      <x:c r="D102" s="51" t="str">
        <x:v>Moonsilver Fern</x:v>
      </x:c>
      <x:c r="E102" s="51" t="str"/>
      <x:c r="F102" s="51" t="str">
        <x:v>Craft DC -4; Effect +75%; Duration +25%</x:v>
      </x:c>
      <x:c r="G102" s="39" t="str">
        <x:v>A silver-edged fern with cool dew collecting on the fronds. It smells of moonlit grass and clean water.</x:v>
      </x:c>
    </x:row>
    <x:row r="103">
      <x:c r="A103" s="38" t="str">
        <x:v>Core</x:v>
      </x:c>
      <x:c r="B103" s="51" t="str">
        <x:v>Leaf / Vine</x:v>
      </x:c>
      <x:c r="C103" s="51" t="str">
        <x:v>Rare</x:v>
      </x:c>
      <x:c r="D103" s="51" t="str">
        <x:v>Skyreach Vine</x:v>
      </x:c>
      <x:c r="E103" s="51" t="str"/>
      <x:c r="F103" s="51" t="str">
        <x:v>Craft DC -4; Duration +100%</x:v>
      </x:c>
      <x:c r="G103" s="39" t="str">
        <x:v>A long pale vine that seems lighter than it should be. It smells of rain-washed leaves and high wind.</x:v>
      </x:c>
    </x:row>
    <x:row r="104">
      <x:c r="A104" s="38" t="str">
        <x:v>Core</x:v>
      </x:c>
      <x:c r="B104" s="51" t="str">
        <x:v>Leaf / Vine</x:v>
      </x:c>
      <x:c r="C104" s="51" t="str">
        <x:v>Rare</x:v>
      </x:c>
      <x:c r="D104" s="51" t="str">
        <x:v>Stormrunner Fern</x:v>
      </x:c>
      <x:c r="E104" s="51" t="str">
        <x:v>Stunning, Lightning, Thunder</x:v>
      </x:c>
      <x:c r="F104" s="51" t="str">
        <x:v>Craft DC -4; Effect +50%; Area / Range +50%</x:v>
      </x:c>
      <x:c r="G104" s="39" t="str">
        <x:v>A copper fern whose fronds snap toward distant thunder. It feels electrically warm, smells of rain and crushed pepper, and raises the hair on the arm.</x:v>
      </x:c>
    </x:row>
    <x:row r="105">
      <x:c r="A105" s="38" t="str">
        <x:v>Core</x:v>
      </x:c>
      <x:c r="B105" s="51" t="str">
        <x:v>Leaf / Vine</x:v>
      </x:c>
      <x:c r="C105" s="51" t="str">
        <x:v>Rare</x:v>
      </x:c>
      <x:c r="D105" s="51" t="str">
        <x:v>Windlace Vine</x:v>
      </x:c>
      <x:c r="E105" s="51" t="str"/>
      <x:c r="F105" s="51" t="str">
        <x:v>Craft DC -4; Duration +50%; Area / Range +50%</x:v>
      </x:c>
      <x:c r="G105" s="39" t="str">
        <x:v>A nearly weightless vine with perforated leaves that whistle softly in moving air. It smells of meadow grass, ozone, and clean linen.</x:v>
      </x:c>
    </x:row>
    <x:row r="106">
      <x:c r="A106" s="38" t="str">
        <x:v>Core</x:v>
      </x:c>
      <x:c r="B106" s="51" t="str">
        <x:v>Leaf / Vine</x:v>
      </x:c>
      <x:c r="C106" s="51" t="str">
        <x:v>Very Rare</x:v>
      </x:c>
      <x:c r="D106" s="51" t="str">
        <x:v>Horizon Vine</x:v>
      </x:c>
      <x:c r="E106" s="51" t="str"/>
      <x:c r="F106" s="51" t="str">
        <x:v>Craft DC -6; Effect +75%; Area / Range +50%</x:v>
      </x:c>
      <x:c r="G106" s="39" t="str">
        <x:v>A sky-blue vine that always stretches toward the farthest visible point. It feels weightless, smells of high wind and citrus, and uncoils even against gravity.</x:v>
      </x:c>
    </x:row>
    <x:row r="107">
      <x:c r="A107" s="38" t="str">
        <x:v>Core</x:v>
      </x:c>
      <x:c r="B107" s="51" t="str">
        <x:v>Leaf / Vine</x:v>
      </x:c>
      <x:c r="C107" s="51" t="str">
        <x:v>Very Rare</x:v>
      </x:c>
      <x:c r="D107" s="51" t="str">
        <x:v>Silverwake Fern</x:v>
      </x:c>
      <x:c r="E107" s="51" t="str"/>
      <x:c r="F107" s="51" t="str">
        <x:v>Craft DC -6; Effect +125%</x:v>
      </x:c>
      <x:c r="G107" s="39" t="str">
        <x:v>A narrow silver-green fern that trembles without wind. The leaves feel slick and springy, and the crushed fronds smell of mint, rainwater, and bright metal.</x:v>
      </x:c>
    </x:row>
    <x:row r="108">
      <x:c r="A108" s="38" t="str">
        <x:v>Core</x:v>
      </x:c>
      <x:c r="B108" s="51" t="str">
        <x:v>Leaf / Vine</x:v>
      </x:c>
      <x:c r="C108" s="51" t="str">
        <x:v>Very Rare</x:v>
      </x:c>
      <x:c r="D108" s="51" t="str">
        <x:v>Thunderstep Fern</x:v>
      </x:c>
      <x:c r="E108" s="51" t="str"/>
      <x:c r="F108" s="51" t="str">
        <x:v>Craft DC -6; Duration +125%</x:v>
      </x:c>
      <x:c r="G108" s="39" t="str">
        <x:v>A dark fern with blue veins that prickle against skin. When crushed, it smells of storm air and sharp green spice.</x:v>
      </x:c>
    </x:row>
    <x:row r="109">
      <x:c r="A109" s="38" t="str">
        <x:v>Core</x:v>
      </x:c>
      <x:c r="B109" s="51" t="str">
        <x:v>Leaf / Vine</x:v>
      </x:c>
      <x:c r="C109" s="51" t="str">
        <x:v>Very Rare</x:v>
      </x:c>
      <x:c r="D109" s="51" t="str">
        <x:v>Worldvine Tendril</x:v>
      </x:c>
      <x:c r="E109" s="51" t="str"/>
      <x:c r="F109" s="51" t="str">
        <x:v>Craft DC -6; Duration +25%; Die step +1</x:v>
      </x:c>
      <x:c r="G109" s="39" t="str">
        <x:v>A living green tendril with gold fibers under the skin. It curls toward warmth and smells of deep jungle rain.</x:v>
      </x:c>
    </x:row>
    <x:row r="110">
      <x:c r="A110" s="38" t="str">
        <x:v>Core</x:v>
      </x:c>
      <x:c r="B110" s="51" t="str">
        <x:v>Thorn / Bark / Wood</x:v>
      </x:c>
      <x:c r="C110" s="51" t="str">
        <x:v>Common</x:v>
      </x:c>
      <x:c r="D110" s="51" t="str">
        <x:v>Ashbark Flake</x:v>
      </x:c>
      <x:c r="E110" s="51" t="str"/>
      <x:c r="F110" s="51" t="str">
        <x:v>No Craft DC reduction; Duration +25%</x:v>
      </x:c>
      <x:c r="G110" s="39" t="str">
        <x:v>A pale flake of bark with dark soot trapped in its grain. It is dry and brittle, smelling of cold fireplaces, oak, and mineral dust.</x:v>
      </x:c>
    </x:row>
    <x:row r="111">
      <x:c r="A111" s="38" t="str">
        <x:v>Core</x:v>
      </x:c>
      <x:c r="B111" s="51" t="str">
        <x:v>Thorn / Bark / Wood</x:v>
      </x:c>
      <x:c r="C111" s="51" t="str">
        <x:v>Common</x:v>
      </x:c>
      <x:c r="D111" s="51" t="str">
        <x:v>Briarwood Chip</x:v>
      </x:c>
      <x:c r="E111" s="51" t="str"/>
      <x:c r="F111" s="51" t="str">
        <x:v>No Craft DC reduction; Duration +25%</x:v>
      </x:c>
      <x:c r="G111" s="39" t="str">
        <x:v>A reddish chip cut from dense briarwood, crossed by tiny black thorns. It is hard and resinous and smells of rose stems and smoke.</x:v>
      </x:c>
    </x:row>
    <x:row r="112">
      <x:c r="A112" s="38" t="str">
        <x:v>Core</x:v>
      </x:c>
      <x:c r="B112" s="51" t="str">
        <x:v>Thorn / Bark / Wood</x:v>
      </x:c>
      <x:c r="C112" s="51" t="str">
        <x:v>Common</x:v>
      </x:c>
      <x:c r="D112" s="51" t="str">
        <x:v>Crowthorn</x:v>
      </x:c>
      <x:c r="E112" s="51" t="str"/>
      <x:c r="F112" s="51" t="str">
        <x:v>No Craft DC reduction; Effect +25%</x:v>
      </x:c>
      <x:c r="G112" s="39" t="str">
        <x:v>A glossy black thorn curved like a beak. It feels hard as iron, smells faintly of bitter almonds and rain, and leaves a pinprick numbness.</x:v>
      </x:c>
    </x:row>
    <x:row r="113">
      <x:c r="A113" s="38" t="str">
        <x:v>Core</x:v>
      </x:c>
      <x:c r="B113" s="51" t="str">
        <x:v>Thorn / Bark / Wood</x:v>
      </x:c>
      <x:c r="C113" s="51" t="str">
        <x:v>Common</x:v>
      </x:c>
      <x:c r="D113" s="51" t="str">
        <x:v>Oak Bark</x:v>
      </x:c>
      <x:c r="E113" s="51" t="str"/>
      <x:c r="F113" s="51" t="str">
        <x:v>No Craft DC reduction; Effect +25%</x:v>
      </x:c>
      <x:c r="G113" s="39" t="str">
        <x:v>A rough strip of ordinary oak bark with dry tannic dust. It smells woody, bitter, and familiar.</x:v>
      </x:c>
    </x:row>
    <x:row r="114">
      <x:c r="A114" s="38" t="str">
        <x:v>Core</x:v>
      </x:c>
      <x:c r="B114" s="51" t="str">
        <x:v>Thorn / Bark / Wood</x:v>
      </x:c>
      <x:c r="C114" s="51" t="str">
        <x:v>Common</x:v>
      </x:c>
      <x:c r="D114" s="51" t="str">
        <x:v>Pale Thorn</x:v>
      </x:c>
      <x:c r="E114" s="51" t="str"/>
      <x:c r="F114" s="51" t="str">
        <x:v>No Craft DC reduction; Effect +25%</x:v>
      </x:c>
      <x:c r="G114" s="39" t="str">
        <x:v>A long ivory thorn with a faintly translucent tip. It is cool, smooth, and smells of dry wood, bone dust, and bitter sap.</x:v>
      </x:c>
    </x:row>
    <x:row r="115">
      <x:c r="A115" s="38" t="str">
        <x:v>Core</x:v>
      </x:c>
      <x:c r="B115" s="51" t="str">
        <x:v>Thorn / Bark / Wood</x:v>
      </x:c>
      <x:c r="C115" s="51" t="str">
        <x:v>Uncommon</x:v>
      </x:c>
      <x:c r="D115" s="51" t="str">
        <x:v>Briar Thorn</x:v>
      </x:c>
      <x:c r="E115" s="51" t="str"/>
      <x:c r="F115" s="51" t="str">
        <x:v>Craft DC -2; Duration +75%</x:v>
      </x:c>
      <x:c r="G115" s="39" t="str">
        <x:v>A bundle of hooked thorns with reddish tips. It catches on gloves and smells dry, green, and faintly bloody.</x:v>
      </x:c>
    </x:row>
    <x:row r="116">
      <x:c r="A116" s="38" t="str">
        <x:v>Core</x:v>
      </x:c>
      <x:c r="B116" s="51" t="str">
        <x:v>Thorn / Bark / Wood</x:v>
      </x:c>
      <x:c r="C116" s="51" t="str">
        <x:v>Uncommon</x:v>
      </x:c>
      <x:c r="D116" s="51" t="str">
        <x:v>Emberwood Curl</x:v>
      </x:c>
      <x:c r="E116" s="51" t="str">
        <x:v>Fire</x:v>
      </x:c>
      <x:c r="F116" s="51" t="str">
        <x:v>Craft DC -2; Effect +25%; Duration +50%</x:v>
      </x:c>
      <x:c r="G116" s="39" t="str">
        <x:v>A thin curl of red wood that remains warm after sunset. It smells of cinnamon bark, smoke, and orange peel, and flexes without cracking.</x:v>
      </x:c>
    </x:row>
    <x:row r="117">
      <x:c r="A117" s="38" t="str">
        <x:v>Core</x:v>
      </x:c>
      <x:c r="B117" s="51" t="str">
        <x:v>Thorn / Bark / Wood</x:v>
      </x:c>
      <x:c r="C117" s="51" t="str">
        <x:v>Uncommon</x:v>
      </x:c>
      <x:c r="D117" s="51" t="str">
        <x:v>Ironbark Strip</x:v>
      </x:c>
      <x:c r="E117" s="51" t="str"/>
      <x:c r="F117" s="51" t="str">
        <x:v>Craft DC -2; Effect +75%</x:v>
      </x:c>
      <x:c r="G117" s="39" t="str">
        <x:v>A dark bark strip with gray ridges hard as scale. Its shavings smell of ironwood, smoke, and bitter tea.</x:v>
      </x:c>
    </x:row>
    <x:row r="118">
      <x:c r="A118" s="38" t="str">
        <x:v>Core</x:v>
      </x:c>
      <x:c r="B118" s="51" t="str">
        <x:v>Thorn / Bark / Wood</x:v>
      </x:c>
      <x:c r="C118" s="51" t="str">
        <x:v>Uncommon</x:v>
      </x:c>
      <x:c r="D118" s="51" t="str">
        <x:v>Redbark Curl</x:v>
      </x:c>
      <x:c r="E118" s="51" t="str"/>
      <x:c r="F118" s="51" t="str">
        <x:v>Craft DC -2; Effect +50%; Duration +25%</x:v>
      </x:c>
      <x:c r="G118" s="39" t="str">
        <x:v>A curled strip of crimson bark with a soft silver underside. It feels leathery and smells of cinnamon, iron-rich soil, and fresh-cut timber.</x:v>
      </x:c>
    </x:row>
    <x:row r="119">
      <x:c r="A119" s="38" t="str">
        <x:v>Core</x:v>
      </x:c>
      <x:c r="B119" s="51" t="str">
        <x:v>Thorn / Bark / Wood</x:v>
      </x:c>
      <x:c r="C119" s="51" t="str">
        <x:v>Uncommon</x:v>
      </x:c>
      <x:c r="D119" s="51" t="str">
        <x:v>Stonebriar</x:v>
      </x:c>
      <x:c r="E119" s="51" t="str"/>
      <x:c r="F119" s="51" t="str">
        <x:v>Craft DC -2; Effect +25%; Save DC +1</x:v>
      </x:c>
      <x:c r="G119" s="39" t="str">
        <x:v>A gray-green briar with bark textured like sandstone. It is rough and heavy, smells of crushed thyme and quarry dust, and sparks against steel.</x:v>
      </x:c>
    </x:row>
    <x:row r="120">
      <x:c r="A120" s="38" t="str">
        <x:v>Core</x:v>
      </x:c>
      <x:c r="B120" s="51" t="str">
        <x:v>Thorn / Bark / Wood</x:v>
      </x:c>
      <x:c r="C120" s="51" t="str">
        <x:v>Rare</x:v>
      </x:c>
      <x:c r="D120" s="51" t="str">
        <x:v>Bloodthorn Bundle</x:v>
      </x:c>
      <x:c r="E120" s="51" t="str"/>
      <x:c r="F120" s="51" t="str">
        <x:v>Craft DC -4; Effect +50%; Save DC +1</x:v>
      </x:c>
      <x:c r="G120" s="39" t="str">
        <x:v>A thorny bundle wrapped in dark red fibers. Its points bead with sticky sap and smell of copper and bramble.</x:v>
      </x:c>
    </x:row>
    <x:row r="121">
      <x:c r="A121" s="38" t="str">
        <x:v>Core</x:v>
      </x:c>
      <x:c r="B121" s="51" t="str">
        <x:v>Thorn / Bark / Wood</x:v>
      </x:c>
      <x:c r="C121" s="51" t="str">
        <x:v>Rare</x:v>
      </x:c>
      <x:c r="D121" s="51" t="str">
        <x:v>Guardian Oak Heartwood</x:v>
      </x:c>
      <x:c r="E121" s="51" t="str"/>
      <x:c r="F121" s="51" t="str">
        <x:v>Craft DC -4; Effect +50%; Duration +50%</x:v>
      </x:c>
      <x:c r="G121" s="39" t="str">
        <x:v>Dense golden heartwood cut from a tree scarred by lightning. It smells of acorns, rain, and old leather, and vibrates faintly when danger approaches.</x:v>
      </x:c>
    </x:row>
    <x:row r="122">
      <x:c r="A122" s="38" t="str">
        <x:v>Core</x:v>
      </x:c>
      <x:c r="B122" s="51" t="str">
        <x:v>Thorn / Bark / Wood</x:v>
      </x:c>
      <x:c r="C122" s="51" t="str">
        <x:v>Rare</x:v>
      </x:c>
      <x:c r="D122" s="51" t="str">
        <x:v>Kingshield Bark</x:v>
      </x:c>
      <x:c r="E122" s="51" t="str"/>
      <x:c r="F122" s="51" t="str">
        <x:v>Craft DC -4; Effect +100%</x:v>
      </x:c>
      <x:c r="G122" s="39" t="str">
        <x:v>A broad golden-brown bark scale with overlapping ridges like armor plates. It smells of oak smoke, leather, and warm spice.</x:v>
      </x:c>
    </x:row>
    <x:row r="123">
      <x:c r="A123" s="38" t="str">
        <x:v>Core</x:v>
      </x:c>
      <x:c r="B123" s="51" t="str">
        <x:v>Thorn / Bark / Wood</x:v>
      </x:c>
      <x:c r="C123" s="51" t="str">
        <x:v>Rare</x:v>
      </x:c>
      <x:c r="D123" s="51" t="str">
        <x:v>Stonebark Shaving</x:v>
      </x:c>
      <x:c r="E123" s="51" t="str"/>
      <x:c r="F123" s="51" t="str">
        <x:v>Craft DC -4; Effect +75%; Duration +25%</x:v>
      </x:c>
      <x:c r="G123" s="39" t="str">
        <x:v>A pale shaving from bark hardened like stone. It rasps in the mortar and smells of chalk, oak, and rain.</x:v>
      </x:c>
    </x:row>
    <x:row r="124">
      <x:c r="A124" s="38" t="str">
        <x:v>Core</x:v>
      </x:c>
      <x:c r="B124" s="51" t="str">
        <x:v>Thorn / Bark / Wood</x:v>
      </x:c>
      <x:c r="C124" s="51" t="str">
        <x:v>Very Rare</x:v>
      </x:c>
      <x:c r="D124" s="51" t="str">
        <x:v>Adamant Briarheart</x:v>
      </x:c>
      <x:c r="E124" s="51" t="str"/>
      <x:c r="F124" s="51" t="str">
        <x:v>Craft DC -6; Effect +25%; Die step +1</x:v>
      </x:c>
      <x:c r="G124" s="39" t="str">
        <x:v>A fist-sized knot of metallic black briarwood threaded with green light. It rings like steel, smells of sap and lightning, and cannot be cut by ordinary knives.</x:v>
      </x:c>
    </x:row>
    <x:row r="125">
      <x:c r="A125" s="38" t="str">
        <x:v>Core</x:v>
      </x:c>
      <x:c r="B125" s="51" t="str">
        <x:v>Thorn / Bark / Wood</x:v>
      </x:c>
      <x:c r="C125" s="51" t="str">
        <x:v>Very Rare</x:v>
      </x:c>
      <x:c r="D125" s="51" t="str">
        <x:v>Crownthorn Knot</x:v>
      </x:c>
      <x:c r="E125" s="51" t="str">
        <x:v>Blindness, Sight</x:v>
      </x:c>
      <x:c r="F125" s="51" t="str">
        <x:v>Craft DC -6; Effect +75%; Save DC +2</x:v>
      </x:c>
      <x:c r="G125" s="39" t="str">
        <x:v>A twisted thorn-knot shaped like a small crown. Its barbs shine gold at the tips and smell of bitter sap and ozone.</x:v>
      </x:c>
    </x:row>
    <x:row r="126">
      <x:c r="A126" s="38" t="str">
        <x:v>Core</x:v>
      </x:c>
      <x:c r="B126" s="51" t="str">
        <x:v>Thorn / Bark / Wood</x:v>
      </x:c>
      <x:c r="C126" s="51" t="str">
        <x:v>Very Rare</x:v>
      </x:c>
      <x:c r="D126" s="51" t="str">
        <x:v>Elder Ironwood Heart</x:v>
      </x:c>
      <x:c r="E126" s="51" t="str"/>
      <x:c r="F126" s="51" t="str">
        <x:v>Craft DC -6; Effect +125%</x:v>
      </x:c>
      <x:c r="G126" s="39" t="str">
        <x:v>A dense black heartwood chip with silver grain. It feels almost metallic and smells of old forests and forge smoke.</x:v>
      </x:c>
    </x:row>
    <x:row r="127">
      <x:c r="A127" s="38" t="str">
        <x:v>Core</x:v>
      </x:c>
      <x:c r="B127" s="51" t="str">
        <x:v>Thorn / Bark / Wood</x:v>
      </x:c>
      <x:c r="C127" s="51" t="str">
        <x:v>Very Rare</x:v>
      </x:c>
      <x:c r="D127" s="51" t="str">
        <x:v>Worldbriar Heart</x:v>
      </x:c>
      <x:c r="E127" s="51" t="str"/>
      <x:c r="F127" s="51" t="str">
        <x:v>Craft DC -6; Effect +75%; Duration +50%</x:v>
      </x:c>
      <x:c r="G127" s="39" t="str">
        <x:v>A fist-sized knot of black wood wrapped in living green thorns. It pulses faintly when watered and smells of forest rain, resin, and blood-warm sap.</x:v>
      </x:c>
    </x:row>
    <x:row r="128">
      <x:c r="A128" s="38" t="str">
        <x:v>Core</x:v>
      </x:c>
      <x:c r="B128" s="51" t="str">
        <x:v>Mineral / Salt / Ash</x:v>
      </x:c>
      <x:c r="C128" s="51" t="str">
        <x:v>Common</x:v>
      </x:c>
      <x:c r="D128" s="51" t="str">
        <x:v>Bonewhite Ash</x:v>
      </x:c>
      <x:c r="E128" s="51" t="str"/>
      <x:c r="F128" s="51" t="str">
        <x:v>No Craft DC reduction; Effect +25%</x:v>
      </x:c>
      <x:c r="G128" s="39" t="str">
        <x:v>Fine white ash with a silky texture and faint warmth. It smells of clean charcoal, dry herbs, and sun-baked clay.</x:v>
      </x:c>
    </x:row>
    <x:row r="129">
      <x:c r="A129" s="38" t="str">
        <x:v>Core</x:v>
      </x:c>
      <x:c r="B129" s="51" t="str">
        <x:v>Mineral / Salt / Ash</x:v>
      </x:c>
      <x:c r="C129" s="51" t="str">
        <x:v>Common</x:v>
      </x:c>
      <x:c r="D129" s="51" t="str">
        <x:v>Cave Salt</x:v>
      </x:c>
      <x:c r="E129" s="51" t="str"/>
      <x:c r="F129" s="51" t="str">
        <x:v>No Craft DC reduction; Duration +25%</x:v>
      </x:c>
      <x:c r="G129" s="39" t="str">
        <x:v>Coarse gray crystals gathered from cave walls. They crunch like sand, taste smoky and mineral, and smell faintly of wet limestone.</x:v>
      </x:c>
    </x:row>
    <x:row r="130">
      <x:c r="A130" s="38" t="str">
        <x:v>Core</x:v>
      </x:c>
      <x:c r="B130" s="51" t="str">
        <x:v>Mineral / Salt / Ash</x:v>
      </x:c>
      <x:c r="C130" s="51" t="str">
        <x:v>Common</x:v>
      </x:c>
      <x:c r="D130" s="51" t="str">
        <x:v>Hearth Ash</x:v>
      </x:c>
      <x:c r="E130" s="51" t="str"/>
      <x:c r="F130" s="51" t="str">
        <x:v>No Craft DC reduction; Area / Range +25%</x:v>
      </x:c>
      <x:c r="G130" s="39" t="str">
        <x:v>Soft gray ash sifted from medicinal hardwood fires. It is warm, silky, and smells of charcoal, rosemary, and baked clay.</x:v>
      </x:c>
    </x:row>
    <x:row r="131">
      <x:c r="A131" s="38" t="str">
        <x:v>Core</x:v>
      </x:c>
      <x:c r="B131" s="51" t="str">
        <x:v>Mineral / Salt / Ash</x:v>
      </x:c>
      <x:c r="C131" s="51" t="str">
        <x:v>Common</x:v>
      </x:c>
      <x:c r="D131" s="51" t="str">
        <x:v>River Chalk</x:v>
      </x:c>
      <x:c r="E131" s="51" t="str"/>
      <x:c r="F131" s="51" t="str">
        <x:v>No Craft DC reduction; Effect +25%</x:v>
      </x:c>
      <x:c r="G131" s="39" t="str">
        <x:v>A smooth pale chalk pebble gathered from fast water. It crumbles cool and fine, tasting mineral and smelling of wet stone.</x:v>
      </x:c>
    </x:row>
    <x:row r="132">
      <x:c r="A132" s="38" t="str">
        <x:v>Core</x:v>
      </x:c>
      <x:c r="B132" s="51" t="str">
        <x:v>Mineral / Salt / Ash</x:v>
      </x:c>
      <x:c r="C132" s="51" t="str">
        <x:v>Common</x:v>
      </x:c>
      <x:c r="D132" s="51" t="str">
        <x:v>Spring Salt</x:v>
      </x:c>
      <x:c r="E132" s="51" t="str"/>
      <x:c r="F132" s="51" t="str">
        <x:v>No Craft DC reduction; Duration +25%</x:v>
      </x:c>
      <x:c r="G132" s="39" t="str">
        <x:v>Coarse white salt with green flecks and a clean mineral scent. It tastes bright and cold.</x:v>
      </x:c>
    </x:row>
    <x:row r="133">
      <x:c r="A133" s="38" t="str">
        <x:v>Core</x:v>
      </x:c>
      <x:c r="B133" s="51" t="str">
        <x:v>Mineral / Salt / Ash</x:v>
      </x:c>
      <x:c r="C133" s="51" t="str">
        <x:v>Uncommon</x:v>
      </x:c>
      <x:c r="D133" s="51" t="str">
        <x:v>Alchemical Salt</x:v>
      </x:c>
      <x:c r="E133" s="51" t="str"/>
      <x:c r="F133" s="51" t="str">
        <x:v>Craft DC -2; Duration +75%</x:v>
      </x:c>
      <x:c r="G133" s="39" t="str">
        <x:v>A refined salt that sparks faintly under a pestle. It smells sterile, mineral, and sharp.</x:v>
      </x:c>
    </x:row>
    <x:row r="134">
      <x:c r="A134" s="38" t="str">
        <x:v>Core</x:v>
      </x:c>
      <x:c r="B134" s="51" t="str">
        <x:v>Mineral / Salt / Ash</x:v>
      </x:c>
      <x:c r="C134" s="51" t="str">
        <x:v>Uncommon</x:v>
      </x:c>
      <x:c r="D134" s="51" t="str">
        <x:v>Charcoal Ash</x:v>
      </x:c>
      <x:c r="E134" s="51" t="str"/>
      <x:c r="F134" s="51" t="str">
        <x:v>Craft DC -2; Duration +25%; +1 Extra Dose</x:v>
      </x:c>
      <x:c r="G134" s="39" t="str">
        <x:v>Soft black ash with silver-gray dust at the edges. It smells smoky, dry, and faintly sweet.</x:v>
      </x:c>
    </x:row>
    <x:row r="135">
      <x:c r="A135" s="38" t="str">
        <x:v>Core</x:v>
      </x:c>
      <x:c r="B135" s="51" t="str">
        <x:v>Mineral / Salt / Ash</x:v>
      </x:c>
      <x:c r="C135" s="51" t="str">
        <x:v>Uncommon</x:v>
      </x:c>
      <x:c r="D135" s="51" t="str">
        <x:v>Glass Sand</x:v>
      </x:c>
      <x:c r="E135" s="51" t="str"/>
      <x:c r="F135" s="51" t="str">
        <x:v>Craft DC -2; Effect +50%; Duration +25%</x:v>
      </x:c>
      <x:c r="G135" s="39" t="str">
        <x:v>Fine transparent grains that chime faintly when poured. They feel sharp but leave no cuts and smell of hot stone and salt air.</x:v>
      </x:c>
    </x:row>
    <x:row r="136">
      <x:c r="A136" s="38" t="str">
        <x:v>Core</x:v>
      </x:c>
      <x:c r="B136" s="51" t="str">
        <x:v>Mineral / Salt / Ash</x:v>
      </x:c>
      <x:c r="C136" s="51" t="str">
        <x:v>Uncommon</x:v>
      </x:c>
      <x:c r="D136" s="51" t="str">
        <x:v>Mireglass Sand</x:v>
      </x:c>
      <x:c r="E136" s="51" t="str"/>
      <x:c r="F136" s="51" t="str">
        <x:v>Craft DC -2; Duration +25%; Save DC +1</x:v>
      </x:c>
      <x:c r="G136" s="39" t="str">
        <x:v>Dark green glass grains rounded smooth by swamp water. They feel cool and oily, smell of reeds and iron, and glow faintly beneath moonlight.</x:v>
      </x:c>
    </x:row>
    <x:row r="137">
      <x:c r="A137" s="38" t="str">
        <x:v>Core</x:v>
      </x:c>
      <x:c r="B137" s="51" t="str">
        <x:v>Mineral / Salt / Ash</x:v>
      </x:c>
      <x:c r="C137" s="51" t="str">
        <x:v>Uncommon</x:v>
      </x:c>
      <x:c r="D137" s="51" t="str">
        <x:v>Sunflint Powder</x:v>
      </x:c>
      <x:c r="E137" s="51" t="str"/>
      <x:c r="F137" s="51" t="str">
        <x:v>Craft DC -2; Duration +25%; Area / Range +50%</x:v>
      </x:c>
      <x:c r="G137" s="39" t="str">
        <x:v>Bright yellow stone powder that flashes when poured into sunlight. It feels gritty and warm, smelling of citrus peel and struck flint.</x:v>
      </x:c>
    </x:row>
    <x:row r="138">
      <x:c r="A138" s="38" t="str">
        <x:v>Core</x:v>
      </x:c>
      <x:c r="B138" s="51" t="str">
        <x:v>Mineral / Salt / Ash</x:v>
      </x:c>
      <x:c r="C138" s="51" t="str">
        <x:v>Rare</x:v>
      </x:c>
      <x:c r="D138" s="51" t="str">
        <x:v>Diamond Dust Salt</x:v>
      </x:c>
      <x:c r="E138" s="51" t="str"/>
      <x:c r="F138" s="51" t="str">
        <x:v>Craft DC -4; Duration +50%; +1 Extra Dose</x:v>
      </x:c>
      <x:c r="G138" s="39" t="str">
        <x:v>Glittering salt mixed with hard crystal dust. It scratches glass and smells cold, clean, and expensive.</x:v>
      </x:c>
    </x:row>
    <x:row r="139">
      <x:c r="A139" s="38" t="str">
        <x:v>Core</x:v>
      </x:c>
      <x:c r="B139" s="51" t="str">
        <x:v>Mineral / Salt / Ash</x:v>
      </x:c>
      <x:c r="C139" s="51" t="str">
        <x:v>Rare</x:v>
      </x:c>
      <x:c r="D139" s="51" t="str">
        <x:v>Echo Crystal Dust</x:v>
      </x:c>
      <x:c r="E139" s="51" t="str">
        <x:v>Deafness, Sound, Thunder</x:v>
      </x:c>
      <x:c r="F139" s="51" t="str">
        <x:v>Craft DC -4; Effect +50%; Area / Range +50%</x:v>
      </x:c>
      <x:c r="G139" s="39" t="str">
        <x:v>Powdered clear crystal that repeats nearby sounds as tiny chimes. It feels sharp but weightless and smells of cold air after thunder.</x:v>
      </x:c>
    </x:row>
    <x:row r="140">
      <x:c r="A140" s="38" t="str">
        <x:v>Core</x:v>
      </x:c>
      <x:c r="B140" s="51" t="str">
        <x:v>Mineral / Salt / Ash</x:v>
      </x:c>
      <x:c r="C140" s="51" t="str">
        <x:v>Rare</x:v>
      </x:c>
      <x:c r="D140" s="51" t="str">
        <x:v>Grave Ash</x:v>
      </x:c>
      <x:c r="E140" s="51" t="str">
        <x:v>Necrotic, Death</x:v>
      </x:c>
      <x:c r="F140" s="51" t="str">
        <x:v>Craft DC -4; Effect +50%; Save DC +1</x:v>
      </x:c>
      <x:c r="G140" s="39" t="str">
        <x:v>Pale gray ash that clumps in humid air. It smells of old stone, spent incense, and cold earth.</x:v>
      </x:c>
    </x:row>
    <x:row r="141">
      <x:c r="A141" s="38" t="str">
        <x:v>Core</x:v>
      </x:c>
      <x:c r="B141" s="51" t="str">
        <x:v>Mineral / Salt / Ash</x:v>
      </x:c>
      <x:c r="C141" s="51" t="str">
        <x:v>Rare</x:v>
      </x:c>
      <x:c r="D141" s="51" t="str">
        <x:v>Moonstone Powder</x:v>
      </x:c>
      <x:c r="E141" s="51" t="str"/>
      <x:c r="F141" s="51" t="str">
        <x:v>Craft DC -4; Duration +100%</x:v>
      </x:c>
      <x:c r="G141" s="39" t="str">
        <x:v>Pearl-white mineral powder that glows blue along its edges. It feels cool and slippery and smells of dust after rain.</x:v>
      </x:c>
    </x:row>
    <x:row r="142">
      <x:c r="A142" s="38" t="str">
        <x:v>Core</x:v>
      </x:c>
      <x:c r="B142" s="51" t="str">
        <x:v>Mineral / Salt / Ash</x:v>
      </x:c>
      <x:c r="C142" s="51" t="str">
        <x:v>Very Rare</x:v>
      </x:c>
      <x:c r="D142" s="51" t="str">
        <x:v>Celestial Salt</x:v>
      </x:c>
      <x:c r="E142" s="51" t="str"/>
      <x:c r="F142" s="51" t="str">
        <x:v>Craft DC -6; Duration +25%; Die step +1</x:v>
      </x:c>
      <x:c r="G142" s="39" t="str">
        <x:v>Opalescent crystals that cast tiny star-shaped reflections. They taste sweet before turning sharply saline and smell of ozone, incense, and clean snow.</x:v>
      </x:c>
    </x:row>
    <x:row r="143">
      <x:c r="A143" s="38" t="str">
        <x:v>Core</x:v>
      </x:c>
      <x:c r="B143" s="51" t="str">
        <x:v>Mineral / Salt / Ash</x:v>
      </x:c>
      <x:c r="C143" s="51" t="str">
        <x:v>Very Rare</x:v>
      </x:c>
      <x:c r="D143" s="51" t="str">
        <x:v>Eternity Salt</x:v>
      </x:c>
      <x:c r="E143" s="51" t="str"/>
      <x:c r="F143" s="51" t="str">
        <x:v>Craft DC -6; Duration +125%</x:v>
      </x:c>
      <x:c r="G143" s="39" t="str">
        <x:v>Large clear crystals with slow silver currents moving inside. They never dissolve completely and smell of deep caverns, winter air, and distant lightning.</x:v>
      </x:c>
    </x:row>
    <x:row r="144">
      <x:c r="A144" s="38" t="str">
        <x:v>Core</x:v>
      </x:c>
      <x:c r="B144" s="51" t="str">
        <x:v>Mineral / Salt / Ash</x:v>
      </x:c>
      <x:c r="C144" s="51" t="str">
        <x:v>Very Rare</x:v>
      </x:c>
      <x:c r="D144" s="51" t="str">
        <x:v>Prismatic Ash</x:v>
      </x:c>
      <x:c r="E144" s="51" t="str">
        <x:v>Force, Radiant</x:v>
      </x:c>
      <x:c r="F144" s="51" t="str">
        <x:v>Craft DC -6; Duration +25%; +3 Extra Doses</x:v>
      </x:c>
      <x:c r="G144" s="39" t="str">
        <x:v>Color-shifting ash that separates into rainbow layers when shaken. It smells clean, dry, and impossibly bright.</x:v>
      </x:c>
    </x:row>
    <x:row r="145">
      <x:c r="A145" s="38" t="str">
        <x:v>Core</x:v>
      </x:c>
      <x:c r="B145" s="51" t="str">
        <x:v>Mineral / Salt / Ash</x:v>
      </x:c>
      <x:c r="C145" s="51" t="str">
        <x:v>Very Rare</x:v>
      </x:c>
      <x:c r="D145" s="51" t="str">
        <x:v>Starfall Salt</x:v>
      </x:c>
      <x:c r="E145" s="51" t="str">
        <x:v>Petrification, Stone</x:v>
      </x:c>
      <x:c r="F145" s="51" t="str">
        <x:v>Craft DC -6; Duration +75%; Save DC +2</x:v>
      </x:c>
      <x:c r="G145" s="39" t="str">
        <x:v>Blue-white salt crystals that glow faintly in darkness. They smell of winter air and lightning over stone.</x:v>
      </x:c>
    </x:row>
    <x:row r="146">
      <x:c r="A146" s="38" t="str">
        <x:v>Core</x:v>
      </x:c>
      <x:c r="B146" s="51" t="str">
        <x:v>Venom / Poison Plant</x:v>
      </x:c>
      <x:c r="C146" s="51" t="str">
        <x:v>Common</x:v>
      </x:c>
      <x:c r="D146" s="51" t="str">
        <x:v>Bitterleaf</x:v>
      </x:c>
      <x:c r="E146" s="51" t="str"/>
      <x:c r="F146" s="51" t="str">
        <x:v>No Craft DC reduction; Effect +25%</x:v>
      </x:c>
      <x:c r="G146" s="39" t="str">
        <x:v>A dark green leaf with black veins and an acrid herbal bite. It smells bitter enough to sting the nose.</x:v>
      </x:c>
    </x:row>
    <x:row r="147">
      <x:c r="A147" s="38" t="str">
        <x:v>Core</x:v>
      </x:c>
      <x:c r="B147" s="51" t="str">
        <x:v>Venom / Poison Plant</x:v>
      </x:c>
      <x:c r="C147" s="51" t="str">
        <x:v>Common</x:v>
      </x:c>
      <x:c r="D147" s="51" t="str">
        <x:v>Bitterthorn Sap</x:v>
      </x:c>
      <x:c r="E147" s="51" t="str"/>
      <x:c r="F147" s="51" t="str">
        <x:v>No Craft DC reduction; Effect +25%</x:v>
      </x:c>
      <x:c r="G147" s="39" t="str">
        <x:v>Milky green sap collected from hooked thorns. It is tacky, intensely bitter, and smells of grapefruit rind, crushed nettles, and copper.</x:v>
      </x:c>
    </x:row>
    <x:row r="148">
      <x:c r="A148" s="38" t="str">
        <x:v>Core</x:v>
      </x:c>
      <x:c r="B148" s="51" t="str">
        <x:v>Venom / Poison Plant</x:v>
      </x:c>
      <x:c r="C148" s="51" t="str">
        <x:v>Common</x:v>
      </x:c>
      <x:c r="D148" s="51" t="str">
        <x:v>Itchreed</x:v>
      </x:c>
      <x:c r="E148" s="51" t="str"/>
      <x:c r="F148" s="51" t="str">
        <x:v>No Craft DC reduction; Duration +25%</x:v>
      </x:c>
      <x:c r="G148" s="39" t="str">
        <x:v>A yellow reed covered in nearly invisible hairs. It feels dry and papery, smells of cut hay and pepper, and raises an itchy welt on bare skin.</x:v>
      </x:c>
    </x:row>
    <x:row r="149">
      <x:c r="A149" s="38" t="str">
        <x:v>Core</x:v>
      </x:c>
      <x:c r="B149" s="51" t="str">
        <x:v>Venom / Poison Plant</x:v>
      </x:c>
      <x:c r="C149" s="51" t="str">
        <x:v>Common</x:v>
      </x:c>
      <x:c r="D149" s="51" t="str">
        <x:v>Sourbell</x:v>
      </x:c>
      <x:c r="E149" s="51" t="str"/>
      <x:c r="F149" s="51" t="str">
        <x:v>No Craft DC reduction; Effect +25%</x:v>
      </x:c>
      <x:c r="G149" s="39" t="str">
        <x:v>A drooping yellow-green flower with a swollen bell full of cloudy nectar. It smells sharply of vinegar, citrus rind, and bruised weeds.</x:v>
      </x:c>
    </x:row>
    <x:row r="150">
      <x:c r="A150" s="38" t="str">
        <x:v>Core</x:v>
      </x:c>
      <x:c r="B150" s="51" t="str">
        <x:v>Venom / Poison Plant</x:v>
      </x:c>
      <x:c r="C150" s="51" t="str">
        <x:v>Common</x:v>
      </x:c>
      <x:c r="D150" s="51" t="str">
        <x:v>Stingnettle</x:v>
      </x:c>
      <x:c r="E150" s="51" t="str"/>
      <x:c r="F150" s="51" t="str">
        <x:v>No Craft DC reduction; Duration +25%</x:v>
      </x:c>
      <x:c r="G150" s="39" t="str">
        <x:v>A low dark nettle covered in nearly invisible glass hairs. Brushing it leaves a hot numbness, and it smells of pepper, green sap, and copper.</x:v>
      </x:c>
    </x:row>
    <x:row r="151">
      <x:c r="A151" s="38" t="str">
        <x:v>Core</x:v>
      </x:c>
      <x:c r="B151" s="51" t="str">
        <x:v>Venom / Poison Plant</x:v>
      </x:c>
      <x:c r="C151" s="51" t="str">
        <x:v>Uncommon</x:v>
      </x:c>
      <x:c r="D151" s="51" t="str">
        <x:v>Ashfang Leaf</x:v>
      </x:c>
      <x:c r="E151" s="51" t="str"/>
      <x:c r="F151" s="51" t="str">
        <x:v>Craft DC -2; Effect +25%; Duration +50%</x:v>
      </x:c>
      <x:c r="G151" s="39" t="str">
        <x:v>A serrated gray leaf with black veins and a dry leathery feel. It smells of burnt tea and metal, leaving a sharp numbness on the tongue.</x:v>
      </x:c>
    </x:row>
    <x:row r="152">
      <x:c r="A152" s="38" t="str">
        <x:v>Core</x:v>
      </x:c>
      <x:c r="B152" s="51" t="str">
        <x:v>Venom / Poison Plant</x:v>
      </x:c>
      <x:c r="C152" s="51" t="str">
        <x:v>Uncommon</x:v>
      </x:c>
      <x:c r="D152" s="51" t="str">
        <x:v>Drowsevine</x:v>
      </x:c>
      <x:c r="E152" s="51" t="str"/>
      <x:c r="F152" s="51" t="str">
        <x:v>Craft DC -2; Effect +50%; Duration +25%</x:v>
      </x:c>
      <x:c r="G152" s="39" t="str">
        <x:v>A purple vine with soft fuzzy leaves that curl around warm objects. Its scent is sweet and heavy, like overripe berries and poppy smoke.</x:v>
      </x:c>
    </x:row>
    <x:row r="153">
      <x:c r="A153" s="38" t="str">
        <x:v>Core</x:v>
      </x:c>
      <x:c r="B153" s="51" t="str">
        <x:v>Venom / Poison Plant</x:v>
      </x:c>
      <x:c r="C153" s="51" t="str">
        <x:v>Uncommon</x:v>
      </x:c>
      <x:c r="D153" s="51" t="str">
        <x:v>Sleepnettle</x:v>
      </x:c>
      <x:c r="E153" s="51" t="str"/>
      <x:c r="F153" s="51" t="str">
        <x:v>Craft DC -2; Duration +25%; Save DC +1</x:v>
      </x:c>
      <x:c r="G153" s="39" t="str">
        <x:v>A soft violet nettle whose hairs droop at dusk. It smells of lavender and sour grass, and contact leaves the fingers heavy and slow.</x:v>
      </x:c>
    </x:row>
    <x:row r="154">
      <x:c r="A154" s="38" t="str">
        <x:v>Core</x:v>
      </x:c>
      <x:c r="B154" s="51" t="str">
        <x:v>Venom / Poison Plant</x:v>
      </x:c>
      <x:c r="C154" s="51" t="str">
        <x:v>Uncommon</x:v>
      </x:c>
      <x:c r="D154" s="51" t="str">
        <x:v>Venomkiss Nettle</x:v>
      </x:c>
      <x:c r="E154" s="51" t="str"/>
      <x:c r="F154" s="51" t="str">
        <x:v>Craft DC -2; Effect +75%</x:v>
      </x:c>
      <x:c r="G154" s="39" t="str">
        <x:v>A nettle with red hairs that twitch when warmed. It smells of crushed greens, pepper, and venom sacs.</x:v>
      </x:c>
    </x:row>
    <x:row r="155">
      <x:c r="A155" s="38" t="str">
        <x:v>Core</x:v>
      </x:c>
      <x:c r="B155" s="51" t="str">
        <x:v>Venom / Poison Plant</x:v>
      </x:c>
      <x:c r="C155" s="51" t="str">
        <x:v>Uncommon</x:v>
      </x:c>
      <x:c r="D155" s="51" t="str">
        <x:v>Widowshade</x:v>
      </x:c>
      <x:c r="E155" s="51" t="str"/>
      <x:c r="F155" s="51" t="str">
        <x:v>Craft DC -2; Effect +25%; Save DC +1</x:v>
      </x:c>
      <x:c r="G155" s="39" t="str">
        <x:v>A drooping purple-black sprig with glossy leaves. Its scent is sweet at first, then metallic and cold.</x:v>
      </x:c>
    </x:row>
    <x:row r="156">
      <x:c r="A156" s="38" t="str">
        <x:v>Core</x:v>
      </x:c>
      <x:c r="B156" s="51" t="str">
        <x:v>Venom / Poison Plant</x:v>
      </x:c>
      <x:c r="C156" s="51" t="str">
        <x:v>Rare</x:v>
      </x:c>
      <x:c r="D156" s="51" t="str">
        <x:v>Longsting Root</x:v>
      </x:c>
      <x:c r="E156" s="51" t="str"/>
      <x:c r="F156" s="51" t="str">
        <x:v>Craft DC -4; Effect +50%; Duration +50%</x:v>
      </x:c>
      <x:c r="G156" s="39" t="str">
        <x:v>A narrow black root with a bright white core that numbs the knife used to cut it. It smells of licorice, wet iron, and bitter medicine.</x:v>
      </x:c>
    </x:row>
    <x:row r="157">
      <x:c r="A157" s="38" t="str">
        <x:v>Core</x:v>
      </x:c>
      <x:c r="B157" s="51" t="str">
        <x:v>Venom / Poison Plant</x:v>
      </x:c>
      <x:c r="C157" s="51" t="str">
        <x:v>Rare</x:v>
      </x:c>
      <x:c r="D157" s="51" t="str">
        <x:v>Nightfang Cap</x:v>
      </x:c>
      <x:c r="E157" s="51" t="str">
        <x:v>Poison, Venom, Paralysis</x:v>
      </x:c>
      <x:c r="F157" s="51" t="str">
        <x:v>Craft DC -4; Die step +1</x:v>
      </x:c>
      <x:c r="G157" s="39" t="str">
        <x:v>A black mushroom cap with toothlike white ridges underneath. It smells of damp leather and sour metal.</x:v>
      </x:c>
    </x:row>
    <x:row r="158">
      <x:c r="A158" s="38" t="str">
        <x:v>Core</x:v>
      </x:c>
      <x:c r="B158" s="51" t="str">
        <x:v>Venom / Poison Plant</x:v>
      </x:c>
      <x:c r="C158" s="51" t="str">
        <x:v>Rare</x:v>
      </x:c>
      <x:c r="D158" s="51" t="str">
        <x:v>Purple Ichor Bloom</x:v>
      </x:c>
      <x:c r="E158" s="51" t="str"/>
      <x:c r="F158" s="51" t="str">
        <x:v>Craft DC -4; Effect +100%</x:v>
      </x:c>
      <x:c r="G158" s="39" t="str">
        <x:v>A bruised purple flower that seeps dark nectar. It smells sweet, rotten, and alchemically sharp.</x:v>
      </x:c>
    </x:row>
    <x:row r="159">
      <x:c r="A159" s="38" t="str">
        <x:v>Core</x:v>
      </x:c>
      <x:c r="B159" s="51" t="str">
        <x:v>Venom / Poison Plant</x:v>
      </x:c>
      <x:c r="C159" s="51" t="str">
        <x:v>Rare</x:v>
      </x:c>
      <x:c r="D159" s="51" t="str">
        <x:v>Widow's Crown Bloom</x:v>
      </x:c>
      <x:c r="E159" s="51" t="str"/>
      <x:c r="F159" s="51" t="str">
        <x:v>Craft DC -4; Duration +50%; Save DC +1</x:v>
      </x:c>
      <x:c r="G159" s="39" t="str">
        <x:v>A black flower ringed by crimson hook-shaped petals. It smells of overripe fruit and iron, and its sticky pollen makes the pulse flutter.</x:v>
      </x:c>
    </x:row>
    <x:row r="160">
      <x:c r="A160" s="38" t="str">
        <x:v>Core</x:v>
      </x:c>
      <x:c r="B160" s="51" t="str">
        <x:v>Venom / Poison Plant</x:v>
      </x:c>
      <x:c r="C160" s="51" t="str">
        <x:v>Very Rare</x:v>
      </x:c>
      <x:c r="D160" s="51" t="str">
        <x:v>Black Lotus Venom</x:v>
      </x:c>
      <x:c r="E160" s="51" t="str"/>
      <x:c r="F160" s="51" t="str">
        <x:v>Craft DC -6; Effect +125%</x:v>
      </x:c>
      <x:c r="G160" s="39" t="str">
        <x:v>A black lotus distillate in thick glossy drops. It smells floral, poisonous, and almost hypnotic.</x:v>
      </x:c>
    </x:row>
    <x:row r="161">
      <x:c r="A161" s="38" t="str">
        <x:v>Core</x:v>
      </x:c>
      <x:c r="B161" s="51" t="str">
        <x:v>Venom / Poison Plant</x:v>
      </x:c>
      <x:c r="C161" s="51" t="str">
        <x:v>Very Rare</x:v>
      </x:c>
      <x:c r="D161" s="51" t="str">
        <x:v>Medusa Orchid</x:v>
      </x:c>
      <x:c r="E161" s="51" t="str">
        <x:v>Petrification, Stone</x:v>
      </x:c>
      <x:c r="F161" s="51" t="str">
        <x:v>Craft DC -6; Effect +25%; Save DC +3</x:v>
      </x:c>
      <x:c r="G161" s="39" t="str">
        <x:v>A green-gold orchid whose petals resemble tiny coiling serpents. It feels cold and waxy, smells of stone dust and bitter perfume, and stiffens insects that touch its nectar.</x:v>
      </x:c>
    </x:row>
    <x:row r="162">
      <x:c r="A162" s="38" t="str">
        <x:v>Core</x:v>
      </x:c>
      <x:c r="B162" s="51" t="str">
        <x:v>Venom / Poison Plant</x:v>
      </x:c>
      <x:c r="C162" s="51" t="str">
        <x:v>Very Rare</x:v>
      </x:c>
      <x:c r="D162" s="51" t="str">
        <x:v>Queen Asp Bloom</x:v>
      </x:c>
      <x:c r="E162" s="51" t="str"/>
      <x:c r="F162" s="51" t="str">
        <x:v>Craft DC -6; Effect +25%; Die step +1</x:v>
      </x:c>
      <x:c r="G162" s="39" t="str">
        <x:v>A black-and-gold flower whose central petals resemble a coiled serpent. Its pollen prickles the skin and smells of jasmine, venom, and hot stone.</x:v>
      </x:c>
    </x:row>
    <x:row r="163">
      <x:c r="A163" s="38" t="str">
        <x:v>Core</x:v>
      </x:c>
      <x:c r="B163" s="51" t="str">
        <x:v>Venom / Poison Plant</x:v>
      </x:c>
      <x:c r="C163" s="51" t="str">
        <x:v>Very Rare</x:v>
      </x:c>
      <x:c r="D163" s="51" t="str">
        <x:v>Wormwood Queen</x:v>
      </x:c>
      <x:c r="E163" s="51" t="str"/>
      <x:c r="F163" s="51" t="str">
        <x:v>Craft DC -6; Effect +75%; Save DC +2</x:v>
      </x:c>
      <x:c r="G163" s="39" t="str">
        <x:v>A tall silver-green wormwood crown with bitter pollen. It smells medicinal, royal, and dangerously clean.</x:v>
      </x:c>
    </x:row>
    <x:row r="164">
      <x:c r="A164" s="38" t="str">
        <x:v>Fourth Slot</x:v>
      </x:c>
      <x:c r="B164" s="51" t="str">
        <x:v>Essence</x:v>
      </x:c>
      <x:c r="C164" s="51" t="str">
        <x:v>Uncommon</x:v>
      </x:c>
      <x:c r="D164" s="51" t="str">
        <x:v>Acidic Essence</x:v>
      </x:c>
      <x:c r="E164" s="51" t="str">
        <x:v>Acid</x:v>
      </x:c>
      <x:c r="F164" s="51" t="str"/>
      <x:c r="G164" s="39" t="str">
        <x:v>A yellow-green essence that etches faint rings in cheap glass. It smells sour, sharp, and mineral.</x:v>
      </x:c>
    </x:row>
    <x:row r="165">
      <x:c r="A165" s="38" t="str">
        <x:v>Fourth Slot</x:v>
      </x:c>
      <x:c r="B165" s="51" t="str">
        <x:v>Essence</x:v>
      </x:c>
      <x:c r="C165" s="51" t="str">
        <x:v>Uncommon</x:v>
      </x:c>
      <x:c r="D165" s="51" t="str">
        <x:v>Fire Essence</x:v>
      </x:c>
      <x:c r="E165" s="51" t="str">
        <x:v>Fire</x:v>
      </x:c>
      <x:c r="F165" s="51" t="str"/>
      <x:c r="G165" s="39" t="str">
        <x:v>A red-orange essence that flickers inside the vial like a banked coal. It smells of hot iron, ash, and pepper smoke.</x:v>
      </x:c>
    </x:row>
    <x:row r="166">
      <x:c r="A166" s="38" t="str">
        <x:v>Fourth Slot</x:v>
      </x:c>
      <x:c r="B166" s="51" t="str">
        <x:v>Essence</x:v>
      </x:c>
      <x:c r="C166" s="51" t="str">
        <x:v>Uncommon</x:v>
      </x:c>
      <x:c r="D166" s="51" t="str">
        <x:v>Frost Essence</x:v>
      </x:c>
      <x:c r="E166" s="51" t="str">
        <x:v>Cold</x:v>
      </x:c>
      <x:c r="F166" s="51" t="str"/>
      <x:c r="G166" s="39" t="str">
        <x:v>A pale blue essence rimed with frost even in summer. The glass sweats cold and smells of snow and mint.</x:v>
      </x:c>
    </x:row>
    <x:row r="167">
      <x:c r="A167" s="38" t="str">
        <x:v>Fourth Slot</x:v>
      </x:c>
      <x:c r="B167" s="51" t="str">
        <x:v>Essence</x:v>
      </x:c>
      <x:c r="C167" s="51" t="str">
        <x:v>Rare</x:v>
      </x:c>
      <x:c r="D167" s="51" t="str">
        <x:v>Grave Essence</x:v>
      </x:c>
      <x:c r="E167" s="51" t="str">
        <x:v>Necrotic, Death</x:v>
      </x:c>
      <x:c r="F167" s="51" t="str">
        <x:v>Save DC +1</x:v>
      </x:c>
      <x:c r="G167" s="39" t="str">
        <x:v>A smoky gray essence that sinks to the bottom of any mixture. It smells of cold stone and spent incense.</x:v>
      </x:c>
    </x:row>
    <x:row r="168">
      <x:c r="A168" s="38" t="str">
        <x:v>Fourth Slot</x:v>
      </x:c>
      <x:c r="B168" s="51" t="str">
        <x:v>Essence</x:v>
      </x:c>
      <x:c r="C168" s="51" t="str">
        <x:v>Rare</x:v>
      </x:c>
      <x:c r="D168" s="51" t="str">
        <x:v>Mindshard Distillate</x:v>
      </x:c>
      <x:c r="E168" s="51" t="str">
        <x:v>Psychic, Confusion, Mind</x:v>
      </x:c>
      <x:c r="F168" s="51" t="str">
        <x:v>Save DC +1</x:v>
      </x:c>
      <x:c r="G168" s="39" t="str">
        <x:v>A violet liquid holding tiny mirrored flakes that turn toward nearby thoughts. It tastes metallic, smells of ozone and ink, and makes reflected faces seem unfamiliar.</x:v>
      </x:c>
    </x:row>
    <x:row r="169">
      <x:c r="A169" s="38" t="str">
        <x:v>Fourth Slot</x:v>
      </x:c>
      <x:c r="B169" s="51" t="str">
        <x:v>Essence</x:v>
      </x:c>
      <x:c r="C169" s="51" t="str">
        <x:v>Rare</x:v>
      </x:c>
      <x:c r="D169" s="51" t="str">
        <x:v>Psychic Essence</x:v>
      </x:c>
      <x:c r="E169" s="51" t="str">
        <x:v>Psychic, Mind</x:v>
      </x:c>
      <x:c r="F169" s="51" t="str">
        <x:v>Save DC +1</x:v>
      </x:c>
      <x:c r="G169" s="39" t="str">
        <x:v>A clear violet essence that seems to move when unobserved. It smells faintly of lavender and old ink.</x:v>
      </x:c>
    </x:row>
    <x:row r="170">
      <x:c r="A170" s="38" t="str">
        <x:v>Fourth Slot</x:v>
      </x:c>
      <x:c r="B170" s="51" t="str">
        <x:v>Essence</x:v>
      </x:c>
      <x:c r="C170" s="51" t="str">
        <x:v>Rare</x:v>
      </x:c>
      <x:c r="D170" s="51" t="str">
        <x:v>Radiant Essence</x:v>
      </x:c>
      <x:c r="E170" s="51" t="str">
        <x:v>Radiant, Holy</x:v>
      </x:c>
      <x:c r="F170" s="51" t="str">
        <x:v>Effect +25%</x:v>
      </x:c>
      <x:c r="G170" s="39" t="str">
        <x:v>A warm golden essence that brightens nearby liquid. It smells of sunlit linen, wax, and clean air.</x:v>
      </x:c>
    </x:row>
    <x:row r="171">
      <x:c r="A171" s="38" t="str">
        <x:v>Fourth Slot</x:v>
      </x:c>
      <x:c r="B171" s="51" t="str">
        <x:v>Essence</x:v>
      </x:c>
      <x:c r="C171" s="51" t="str">
        <x:v>Rare</x:v>
      </x:c>
      <x:c r="D171" s="51" t="str">
        <x:v>Storm Essence</x:v>
      </x:c>
      <x:c r="E171" s="51" t="str">
        <x:v>Lightning, Thunder</x:v>
      </x:c>
      <x:c r="F171" s="51" t="str">
        <x:v>Die step +1</x:v>
      </x:c>
      <x:c r="G171" s="39" t="str">
        <x:v>A violet-blue essence crawling with tiny sparks. It hums softly and smells of rain striking metal.</x:v>
      </x:c>
    </x:row>
    <x:row r="172">
      <x:c r="A172" s="38" t="str">
        <x:v>Fourth Slot</x:v>
      </x:c>
      <x:c r="B172" s="51" t="str">
        <x:v>Essence</x:v>
      </x:c>
      <x:c r="C172" s="51" t="str">
        <x:v>Very Rare</x:v>
      </x:c>
      <x:c r="D172" s="51" t="str">
        <x:v>Force Shard</x:v>
      </x:c>
      <x:c r="E172" s="51" t="str">
        <x:v>Force</x:v>
      </x:c>
      <x:c r="F172" s="51" t="str">
        <x:v>Die step +1</x:v>
      </x:c>
      <x:c r="G172" s="39" t="str">
        <x:v>A hard translucent shard suspended in clear fluid. It clicks against the vial without touching the glass.</x:v>
      </x:c>
    </x:row>
    <x:row r="173">
      <x:c r="A173" s="38" t="str">
        <x:v>Fourth Slot</x:v>
      </x:c>
      <x:c r="B173" s="51" t="str">
        <x:v>Enhancer / Catalyst</x:v>
      </x:c>
      <x:c r="C173" s="51" t="str">
        <x:v>Uncommon</x:v>
      </x:c>
      <x:c r="D173" s="51" t="str">
        <x:v>Binding Agent</x:v>
      </x:c>
      <x:c r="E173" s="51" t="str">
        <x:v>Binding, Restraint</x:v>
      </x:c>
      <x:c r="F173" s="51" t="str">
        <x:v>Duration +50%</x:v>
      </x:c>
      <x:c r="G173" s="39" t="str">
        <x:v>A thick blue binder that slows every swirl in the beaker. It smells of clay, wax, and powdered chalk.</x:v>
      </x:c>
    </x:row>
    <x:row r="174">
      <x:c r="A174" s="38" t="str">
        <x:v>Fourth Slot</x:v>
      </x:c>
      <x:c r="B174" s="51" t="str">
        <x:v>Enhancer / Catalyst</x:v>
      </x:c>
      <x:c r="C174" s="51" t="str">
        <x:v>Uncommon</x:v>
      </x:c>
      <x:c r="D174" s="51" t="str">
        <x:v>Clear-Eye Distillate</x:v>
      </x:c>
      <x:c r="E174" s="51" t="str">
        <x:v>Blindness</x:v>
      </x:c>
      <x:c r="F174" s="51" t="str"/>
      <x:c r="G174" s="39" t="str">
        <x:v>A colorless distillate that flashes silver when held to the light. It smells of clean rain and crushed mint, and leaves the tongue cool and sharply focused.</x:v>
      </x:c>
    </x:row>
    <x:row r="175">
      <x:c r="A175" s="38" t="str">
        <x:v>Fourth Slot</x:v>
      </x:c>
      <x:c r="B175" s="51" t="str">
        <x:v>Enhancer / Catalyst</x:v>
      </x:c>
      <x:c r="C175" s="51" t="str">
        <x:v>Uncommon</x:v>
      </x:c>
      <x:c r="D175" s="51" t="str">
        <x:v>Distillation Agent</x:v>
      </x:c>
      <x:c r="E175" s="51" t="str"/>
      <x:c r="F175" s="51" t="str">
        <x:v>+1 Extra Dose</x:v>
      </x:c>
      <x:c r="G175" s="39" t="str">
        <x:v>A bright additive with tiny bubbles that climb upward forever. It smells of alcohol, copper, and hot glass.</x:v>
      </x:c>
    </x:row>
    <x:row r="176">
      <x:c r="A176" s="38" t="str">
        <x:v>Fourth Slot</x:v>
      </x:c>
      <x:c r="B176" s="51" t="str">
        <x:v>Enhancer / Catalyst</x:v>
      </x:c>
      <x:c r="C176" s="51" t="str">
        <x:v>Uncommon</x:v>
      </x:c>
      <x:c r="D176" s="51" t="str">
        <x:v>Heartward Counteragent</x:v>
      </x:c>
      <x:c r="E176" s="51" t="str">
        <x:v>Charm</x:v>
      </x:c>
      <x:c r="F176" s="51" t="str"/>
      <x:c r="G176" s="39" t="str">
        <x:v>A rose-gold syrup that beads instead of running. It smells of cedar, bitter orange, and warm wax, and leaves a steadying warmth behind the breastbone.</x:v>
      </x:c>
    </x:row>
    <x:row r="177">
      <x:c r="A177" s="38" t="str">
        <x:v>Fourth Slot</x:v>
      </x:c>
      <x:c r="B177" s="51" t="str">
        <x:v>Enhancer / Catalyst</x:v>
      </x:c>
      <x:c r="C177" s="51" t="str">
        <x:v>Uncommon</x:v>
      </x:c>
      <x:c r="D177" s="51" t="str">
        <x:v>Lionheart Catalyst</x:v>
      </x:c>
      <x:c r="E177" s="51" t="str">
        <x:v>Fear</x:v>
      </x:c>
      <x:c r="F177" s="51" t="str"/>
      <x:c r="G177" s="39" t="str">
        <x:v>A bright amber powder that crackles softly between the fingers. It smells of sun-warmed grass, pepper, and iron, and tastes intensely hot without burning.</x:v>
      </x:c>
    </x:row>
    <x:row r="178">
      <x:c r="A178" s="38" t="str">
        <x:v>Fourth Slot</x:v>
      </x:c>
      <x:c r="B178" s="51" t="str">
        <x:v>Enhancer / Catalyst</x:v>
      </x:c>
      <x:c r="C178" s="51" t="str">
        <x:v>Uncommon</x:v>
      </x:c>
      <x:c r="D178" s="51" t="str">
        <x:v>Mindanchor Tincture</x:v>
      </x:c>
      <x:c r="E178" s="51" t="str">
        <x:v>Confusion</x:v>
      </x:c>
      <x:c r="F178" s="51" t="str"/>
      <x:c r="G178" s="39" t="str">
        <x:v>A violet tincture with tiny crystal motes that align when the vial is still. It smells of rosemary, old paper, and cold stone.</x:v>
      </x:c>
    </x:row>
    <x:row r="179">
      <x:c r="A179" s="38" t="str">
        <x:v>Fourth Slot</x:v>
      </x:c>
      <x:c r="B179" s="51" t="str">
        <x:v>Enhancer / Catalyst</x:v>
      </x:c>
      <x:c r="C179" s="51" t="str">
        <x:v>Uncommon</x:v>
      </x:c>
      <x:c r="D179" s="51" t="str">
        <x:v>Purity Counteragent</x:v>
      </x:c>
      <x:c r="E179" s="51" t="str">
        <x:v>Poison</x:v>
      </x:c>
      <x:c r="F179" s="51" t="str"/>
      <x:c r="G179" s="39" t="str">
        <x:v>A clear green concentrate with a clean bitter scent of pine needles, salt, and cut citrus. A single drop turns cloudy near common toxins.</x:v>
      </x:c>
    </x:row>
    <x:row r="180">
      <x:c r="A180" s="38" t="str">
        <x:v>Fourth Slot</x:v>
      </x:c>
      <x:c r="B180" s="51" t="str">
        <x:v>Enhancer / Catalyst</x:v>
      </x:c>
      <x:c r="C180" s="51" t="str">
        <x:v>Rare</x:v>
      </x:c>
      <x:c r="D180" s="51" t="str">
        <x:v>Concentrating Agent</x:v>
      </x:c>
      <x:c r="E180" s="51" t="str"/>
      <x:c r="F180" s="51" t="str">
        <x:v>Effect +50%</x:v>
      </x:c>
      <x:c r="G180" s="39" t="str">
        <x:v>A dark drop that pulls color toward itself in a mixture. It smells bitter, hot, and focused.</x:v>
      </x:c>
    </x:row>
    <x:row r="181">
      <x:c r="A181" s="38" t="str">
        <x:v>Fourth Slot</x:v>
      </x:c>
      <x:c r="B181" s="51" t="str">
        <x:v>Enhancer / Catalyst</x:v>
      </x:c>
      <x:c r="C181" s="51" t="str">
        <x:v>Rare</x:v>
      </x:c>
      <x:c r="D181" s="51" t="str">
        <x:v>Freedom Resin</x:v>
      </x:c>
      <x:c r="E181" s="51" t="str">
        <x:v>Restraint</x:v>
      </x:c>
      <x:c r="F181" s="51" t="str"/>
      <x:c r="G181" s="39" t="str">
        <x:v>A slippery silver resin that refuses to cling to knots or rough surfaces. It smells of river reeds, soaproot, and cold wind.</x:v>
      </x:c>
    </x:row>
    <x:row r="182">
      <x:c r="A182" s="38" t="str">
        <x:v>Fourth Slot</x:v>
      </x:c>
      <x:c r="B182" s="51" t="str">
        <x:v>Enhancer / Catalyst</x:v>
      </x:c>
      <x:c r="C182" s="51" t="str">
        <x:v>Rare</x:v>
      </x:c>
      <x:c r="D182" s="51" t="str">
        <x:v>Nervewake Serum</x:v>
      </x:c>
      <x:c r="E182" s="51" t="str">
        <x:v>Paralysis</x:v>
      </x:c>
      <x:c r="F182" s="51" t="str"/>
      <x:c r="G182" s="39" t="str">
        <x:v>A pale blue serum that crawls up glass in branching lines. It smells of rain, copper, and sharp herbs, and tingles against the skin.</x:v>
      </x:c>
    </x:row>
    <x:row r="183">
      <x:c r="A183" s="38" t="str">
        <x:v>Fourth Slot</x:v>
      </x:c>
      <x:c r="B183" s="51" t="str">
        <x:v>Enhancer / Catalyst</x:v>
      </x:c>
      <x:c r="C183" s="51" t="str">
        <x:v>Rare</x:v>
      </x:c>
      <x:c r="D183" s="51" t="str">
        <x:v>Pure Catalyst</x:v>
      </x:c>
      <x:c r="E183" s="51" t="str"/>
      <x:c r="F183" s="51" t="str"/>
      <x:c r="G183" s="39" t="str">
        <x:v>A perfectly clear catalyst that makes nearby mixtures settle into clean layers. It smells sterile and sharp.</x:v>
      </x:c>
    </x:row>
    <x:row r="184">
      <x:c r="A184" s="38" t="str">
        <x:v>Fourth Slot</x:v>
      </x:c>
      <x:c r="B184" s="51" t="str">
        <x:v>Enhancer / Catalyst</x:v>
      </x:c>
      <x:c r="C184" s="51" t="str">
        <x:v>Rare</x:v>
      </x:c>
      <x:c r="D184" s="51" t="str">
        <x:v>Stormground Serum</x:v>
      </x:c>
      <x:c r="E184" s="51" t="str">
        <x:v>Stunning</x:v>
      </x:c>
      <x:c r="F184" s="51" t="str"/>
      <x:c r="G184" s="39" t="str">
        <x:v>A smoky gray serum with blue sparks that vanish when touched. It smells of ozone, wet earth, and bitter tea.</x:v>
      </x:c>
    </x:row>
    <x:row r="185">
      <x:c r="A185" s="38" t="str">
        <x:v>Fourth Slot</x:v>
      </x:c>
      <x:c r="B185" s="51" t="str">
        <x:v>Enhancer / Catalyst</x:v>
      </x:c>
      <x:c r="C185" s="51" t="str">
        <x:v>Rare</x:v>
      </x:c>
      <x:c r="D185" s="51" t="str">
        <x:v>Volatile Agent</x:v>
      </x:c>
      <x:c r="E185" s="51" t="str"/>
      <x:c r="F185" s="51" t="str">
        <x:v>Die step +1</x:v>
      </x:c>
      <x:c r="G185" s="39" t="str">
        <x:v>A sealed red-black additive that ticks softly when shaken. It smells of sulfur, oil, and scorched metal.</x:v>
      </x:c>
    </x:row>
    <x:row r="186">
      <x:c r="A186" s="38" t="str">
        <x:v>Fourth Slot</x:v>
      </x:c>
      <x:c r="B186" s="51" t="str">
        <x:v>Enhancer / Catalyst</x:v>
      </x:c>
      <x:c r="C186" s="51" t="str">
        <x:v>Very Rare</x:v>
      </x:c>
      <x:c r="D186" s="51" t="str">
        <x:v>Stonebreaker Solvent</x:v>
      </x:c>
      <x:c r="E186" s="51" t="str">
        <x:v>Petrification</x:v>
      </x:c>
      <x:c r="F186" s="51" t="str"/>
      <x:c r="G186" s="39" t="str">
        <x:v>A pearlescent solvent that makes mineral dust hiss and loosen. It smells of lightning-struck stone, vinegar, and white flowers.</x:v>
      </x:c>
    </x:row>
    <x:row r="187">
      <x:c r="A187" s="38" t="str">
        <x:v>Fourth Slot</x:v>
      </x:c>
      <x:c r="B187" s="51" t="str">
        <x:v>Holy Component</x:v>
      </x:c>
      <x:c r="C187" s="51" t="str">
        <x:v>Rare</x:v>
      </x:c>
      <x:c r="D187" s="51" t="str">
        <x:v>Holy Component</x:v>
      </x:c>
      <x:c r="E187" s="51" t="str">
        <x:v>Radiant</x:v>
      </x:c>
      <x:c r="F187" s="51" t="str">
        <x:v>Die step +1</x:v>
      </x:c>
      <x:c r="G187" s="39" t="str">
        <x:v>A blessed white-gold component wrapped in clean cloth. It smells of spring water, candle wax, and temple herbs.</x:v>
      </x:c>
    </x:row>
    <x:row r="188">
      <x:c r="A188" s="38" t="str">
        <x:v>Fourth Slot</x:v>
      </x:c>
      <x:c r="B188" s="51" t="str">
        <x:v>Holy Component</x:v>
      </x:c>
      <x:c r="C188" s="51" t="str">
        <x:v>Very Rare</x:v>
      </x:c>
      <x:c r="D188" s="51" t="str">
        <x:v>Greater Holy Component</x:v>
      </x:c>
      <x:c r="E188" s="51" t="str">
        <x:v>Radiant</x:v>
      </x:c>
      <x:c r="F188" s="51" t="str">
        <x:v>Die step +2</x:v>
      </x:c>
      <x:c r="G188" s="39" t="str">
        <x:v>A luminous sacred component that warms the hand through the vial. It leaves a golden trail when stirred.</x:v>
      </x:c>
    </x:row>
    <x:row r="189">
      <x:c r="A189" s="38" t="str">
        <x:v>Fourth Slot</x:v>
      </x:c>
      <x:c r="B189" s="51" t="str">
        <x:v>Monster Parts</x:v>
      </x:c>
      <x:c r="C189" s="51" t="str">
        <x:v>Uncommon</x:v>
      </x:c>
      <x:c r="D189" s="51" t="str">
        <x:v>Acid Gland</x:v>
      </x:c>
      <x:c r="E189" s="51" t="str">
        <x:v>Acid</x:v>
      </x:c>
      <x:c r="F189" s="51" t="str">
        <x:v>Effect +25%</x:v>
      </x:c>
      <x:c r="G189" s="39" t="str">
        <x:v>A translucent yellow gland that beads sour vapor along its surface. It feels rubbery, smells of vinegar and wet stone, and lightly pits cheap metal.</x:v>
      </x:c>
    </x:row>
    <x:row r="190">
      <x:c r="A190" s="38" t="str">
        <x:v>Fourth Slot</x:v>
      </x:c>
      <x:c r="B190" s="51" t="str">
        <x:v>Monster Parts</x:v>
      </x:c>
      <x:c r="C190" s="51" t="str">
        <x:v>Uncommon</x:v>
      </x:c>
      <x:c r="D190" s="51" t="str">
        <x:v>Carrion Spore Sac</x:v>
      </x:c>
      <x:c r="E190" s="51" t="str">
        <x:v>Poison, Venom</x:v>
      </x:c>
      <x:c r="F190" s="51" t="str"/>
      <x:c r="G190" s="39" t="str">
        <x:v>A soft olive sac filled with oily brown spores. It smells of spoiled fruit, wet feathers, and vinegar, and leaves the skin clammy through gloves.</x:v>
      </x:c>
    </x:row>
    <x:row r="191">
      <x:c r="A191" s="38" t="str">
        <x:v>Fourth Slot</x:v>
      </x:c>
      <x:c r="B191" s="51" t="str">
        <x:v>Monster Parts</x:v>
      </x:c>
      <x:c r="C191" s="51" t="str">
        <x:v>Uncommon</x:v>
      </x:c>
      <x:c r="D191" s="51" t="str">
        <x:v>Corrosive Motes</x:v>
      </x:c>
      <x:c r="E191" s="51" t="str">
        <x:v>Acid</x:v>
      </x:c>
      <x:c r="F191" s="51" t="str">
        <x:v>Duration +25%</x:v>
      </x:c>
      <x:c r="G191" s="39" t="str">
        <x:v>Green-gold motes drift in a sealed ampoule and cling to glass like pollen. They smell sharp, mineral, and faintly metallic.</x:v>
      </x:c>
    </x:row>
    <x:row r="192">
      <x:c r="A192" s="38" t="str">
        <x:v>Fourth Slot</x:v>
      </x:c>
      <x:c r="B192" s="51" t="str">
        <x:v>Monster Parts</x:v>
      </x:c>
      <x:c r="C192" s="51" t="str">
        <x:v>Uncommon</x:v>
      </x:c>
      <x:c r="D192" s="51" t="str">
        <x:v>Echo Gland</x:v>
      </x:c>
      <x:c r="E192" s="51" t="str">
        <x:v>Deafness, Sound</x:v>
      </x:c>
      <x:c r="F192" s="51" t="str">
        <x:v>Duration +25%</x:v>
      </x:c>
      <x:c r="G192" s="39" t="str">
        <x:v>A pale folded gland repeats muffled sounds several heartbeats late. It feels waxy and smells of salt, stone halls, and rain.</x:v>
      </x:c>
    </x:row>
    <x:row r="193">
      <x:c r="A193" s="38" t="str">
        <x:v>Fourth Slot</x:v>
      </x:c>
      <x:c r="B193" s="51" t="str">
        <x:v>Monster Parts</x:v>
      </x:c>
      <x:c r="C193" s="51" t="str">
        <x:v>Uncommon</x:v>
      </x:c>
      <x:c r="D193" s="51" t="str">
        <x:v>Ember Motes</x:v>
      </x:c>
      <x:c r="E193" s="51" t="str">
        <x:v>Fire</x:v>
      </x:c>
      <x:c r="F193" s="51" t="str">
        <x:v>Effect +25%</x:v>
      </x:c>
      <x:c r="G193" s="39" t="str">
        <x:v>Orange sparks drift inside a blackened vial without consuming the stopper. They smell of hot iron, cedar smoke, and pepper.</x:v>
      </x:c>
    </x:row>
    <x:row r="194">
      <x:c r="A194" s="38" t="str">
        <x:v>Fourth Slot</x:v>
      </x:c>
      <x:c r="B194" s="51" t="str">
        <x:v>Monster Parts</x:v>
      </x:c>
      <x:c r="C194" s="51" t="str">
        <x:v>Uncommon</x:v>
      </x:c>
      <x:c r="D194" s="51" t="str">
        <x:v>Eye-Dimming Motes</x:v>
      </x:c>
      <x:c r="E194" s="51" t="str">
        <x:v>Blindness, Sight</x:v>
      </x:c>
      <x:c r="F194" s="51" t="str">
        <x:v>Duration +25%</x:v>
      </x:c>
      <x:c r="G194" s="39" t="str">
        <x:v>Smoky motes gather around reflections and dull bright colors. They feel powder-dry and smell of charcoal, dust, and bitter herbs.</x:v>
      </x:c>
    </x:row>
    <x:row r="195">
      <x:c r="A195" s="38" t="str">
        <x:v>Fourth Slot</x:v>
      </x:c>
      <x:c r="B195" s="51" t="str">
        <x:v>Monster Parts</x:v>
      </x:c>
      <x:c r="C195" s="51" t="str">
        <x:v>Uncommon</x:v>
      </x:c>
      <x:c r="D195" s="51" t="str">
        <x:v>Eyeless Moth Dust</x:v>
      </x:c>
      <x:c r="E195" s="51" t="str">
        <x:v>Blindness, Sight</x:v>
      </x:c>
      <x:c r="F195" s="51" t="str"/>
      <x:c r="G195" s="39" t="str">
        <x:v>A packet of pearl-gray dust brushed from the wings of eyeless cave moths. It feels like flour, smells of chalk and old wool, and makes bright light smear at the edge of vision.</x:v>
      </x:c>
    </x:row>
    <x:row r="196">
      <x:c r="A196" s="38" t="str">
        <x:v>Fourth Slot</x:v>
      </x:c>
      <x:c r="B196" s="51" t="str">
        <x:v>Monster Parts</x:v>
      </x:c>
      <x:c r="C196" s="51" t="str">
        <x:v>Uncommon</x:v>
      </x:c>
      <x:c r="D196" s="51" t="str">
        <x:v>Frost Motes</x:v>
      </x:c>
      <x:c r="E196" s="51" t="str">
        <x:v>Cold</x:v>
      </x:c>
      <x:c r="F196" s="51" t="str">
        <x:v>Duration +25%</x:v>
      </x:c>
      <x:c r="G196" s="39" t="str">
        <x:v>Pale blue motes tumble like snow in still air. They numb the fingertips through glass and smell of mint, iron, and winter wind.</x:v>
      </x:c>
    </x:row>
    <x:row r="197">
      <x:c r="A197" s="38" t="str">
        <x:v>Fourth Slot</x:v>
      </x:c>
      <x:c r="B197" s="51" t="str">
        <x:v>Monster Parts</x:v>
      </x:c>
      <x:c r="C197" s="51" t="str">
        <x:v>Uncommon</x:v>
      </x:c>
      <x:c r="D197" s="51" t="str">
        <x:v>Ice Gland</x:v>
      </x:c>
      <x:c r="E197" s="51" t="str">
        <x:v>Cold</x:v>
      </x:c>
      <x:c r="F197" s="51" t="str">
        <x:v>Effect +25%</x:v>
      </x:c>
      <x:c r="G197" s="39" t="str">
        <x:v>A pearl-blue gland with branching white veins. It is painfully cold, slick as river ice, and smells of clean snow.</x:v>
      </x:c>
    </x:row>
    <x:row r="198">
      <x:c r="A198" s="38" t="str">
        <x:v>Fourth Slot</x:v>
      </x:c>
      <x:c r="B198" s="51" t="str">
        <x:v>Monster Parts</x:v>
      </x:c>
      <x:c r="C198" s="51" t="str">
        <x:v>Uncommon</x:v>
      </x:c>
      <x:c r="D198" s="51" t="str">
        <x:v>Mind Motes</x:v>
      </x:c>
      <x:c r="E198" s="51" t="str">
        <x:v>Psychic, Mind, Confusion</x:v>
      </x:c>
      <x:c r="F198" s="51" t="str">
        <x:v>Duration +25%</x:v>
      </x:c>
      <x:c r="G198" s="39" t="str">
        <x:v>Faint violet motes arrange themselves into fleeting symbols. They taste metallic in the air and make nearby whispers seem closer.</x:v>
      </x:c>
    </x:row>
    <x:row r="199">
      <x:c r="A199" s="38" t="str">
        <x:v>Fourth Slot</x:v>
      </x:c>
      <x:c r="B199" s="51" t="str">
        <x:v>Monster Parts</x:v>
      </x:c>
      <x:c r="C199" s="51" t="str">
        <x:v>Uncommon</x:v>
      </x:c>
      <x:c r="D199" s="51" t="str">
        <x:v>Poison Gland</x:v>
      </x:c>
      <x:c r="E199" s="51" t="str">
        <x:v>Poison, Venom</x:v>
      </x:c>
      <x:c r="F199" s="51" t="str">
        <x:v>Effect +25%</x:v>
      </x:c>
      <x:c r="G199" s="39" t="str">
        <x:v>A green-black gland that sweats oily beads through its membrane. It smells sweet at first, then painfully bitter and metallic.</x:v>
      </x:c>
    </x:row>
    <x:row r="200">
      <x:c r="A200" s="38" t="str">
        <x:v>Fourth Slot</x:v>
      </x:c>
      <x:c r="B200" s="51" t="str">
        <x:v>Monster Parts</x:v>
      </x:c>
      <x:c r="C200" s="51" t="str">
        <x:v>Uncommon</x:v>
      </x:c>
      <x:c r="D200" s="51" t="str">
        <x:v>Resonant Motes</x:v>
      </x:c>
      <x:c r="E200" s="51" t="str">
        <x:v>Thunder, Sound, Deafness</x:v>
      </x:c>
      <x:c r="F200" s="51" t="str">
        <x:v>Area / Range +25%</x:v>
      </x:c>
      <x:c r="G200" s="39" t="str">
        <x:v>Silver motes ring softly against glass whenever someone speaks nearby. They smell of ozone and powdered crystal.</x:v>
      </x:c>
    </x:row>
    <x:row r="201">
      <x:c r="A201" s="38" t="str">
        <x:v>Fourth Slot</x:v>
      </x:c>
      <x:c r="B201" s="51" t="str">
        <x:v>Monster Parts</x:v>
      </x:c>
      <x:c r="C201" s="51" t="str">
        <x:v>Uncommon</x:v>
      </x:c>
      <x:c r="D201" s="51" t="str">
        <x:v>Storm Motes</x:v>
      </x:c>
      <x:c r="E201" s="51" t="str">
        <x:v>Lightning, Thunder</x:v>
      </x:c>
      <x:c r="F201" s="51" t="str">
        <x:v>Duration +25%</x:v>
      </x:c>
      <x:c r="G201" s="39" t="str">
        <x:v>Blue-white motes race around their vial in branching paths. They crackle softly and smell of wet stone and metal.</x:v>
      </x:c>
    </x:row>
    <x:row r="202">
      <x:c r="A202" s="38" t="str">
        <x:v>Fourth Slot</x:v>
      </x:c>
      <x:c r="B202" s="51" t="str">
        <x:v>Monster Parts</x:v>
      </x:c>
      <x:c r="C202" s="51" t="str">
        <x:v>Uncommon</x:v>
      </x:c>
      <x:c r="D202" s="51" t="str">
        <x:v>Toxic Motes</x:v>
      </x:c>
      <x:c r="E202" s="51" t="str">
        <x:v>Poison, Venom</x:v>
      </x:c>
      <x:c r="F202" s="51" t="str">
        <x:v>Duration +25%</x:v>
      </x:c>
      <x:c r="G202" s="39" t="str">
        <x:v>Yellow motes drift in a viscous suspension and sting the eyes when the vial is opened. They smell of crushed nettle and copper.</x:v>
      </x:c>
    </x:row>
    <x:row r="203">
      <x:c r="A203" s="38" t="str">
        <x:v>Fourth Slot</x:v>
      </x:c>
      <x:c r="B203" s="51" t="str">
        <x:v>Monster Parts</x:v>
      </x:c>
      <x:c r="C203" s="51" t="str">
        <x:v>Rare</x:v>
      </x:c>
      <x:c r="D203" s="51" t="str">
        <x:v>Aboleth Mucus</x:v>
      </x:c>
      <x:c r="E203" s="51" t="str">
        <x:v>Psychic, Confusion, Mind</x:v>
      </x:c>
      <x:c r="F203" s="51" t="str"/>
      <x:c r="G203" s="39" t="str">
        <x:v>A slick blue-gray mucus that never fully mixes with water. It smells of deep brine, slime, and old psychic pressure.</x:v>
      </x:c>
    </x:row>
    <x:row r="204">
      <x:c r="A204" s="38" t="str">
        <x:v>Fourth Slot</x:v>
      </x:c>
      <x:c r="B204" s="51" t="str">
        <x:v>Monster Parts</x:v>
      </x:c>
      <x:c r="C204" s="51" t="str">
        <x:v>Rare</x:v>
      </x:c>
      <x:c r="D204" s="51" t="str">
        <x:v>Binding Essence</x:v>
      </x:c>
      <x:c r="E204" s="51" t="str">
        <x:v>Restraint, Binding</x:v>
      </x:c>
      <x:c r="F204" s="51" t="str">
        <x:v>Duration +50%; Save DC +1</x:v>
      </x:c>
      <x:c r="G204" s="39" t="str">
        <x:v>Clear amber essence stretches into unbroken threads between containers. It smells of resin, wax, and clean rope fiber.</x:v>
      </x:c>
    </x:row>
    <x:row r="205">
      <x:c r="A205" s="38" t="str">
        <x:v>Fourth Slot</x:v>
      </x:c>
      <x:c r="B205" s="51" t="str">
        <x:v>Monster Parts</x:v>
      </x:c>
      <x:c r="C205" s="51" t="str">
        <x:v>Rare</x:v>
      </x:c>
      <x:c r="D205" s="51" t="str">
        <x:v>Charm Gland</x:v>
      </x:c>
      <x:c r="E205" s="51" t="str">
        <x:v>Charm, Mind, Fey</x:v>
      </x:c>
      <x:c r="F205" s="51" t="str">
        <x:v>Duration +25%; Save DC +1</x:v>
      </x:c>
      <x:c r="G205" s="39" t="str">
        <x:v>A rose-colored gland pulses in time with nearby voices. It smells sweet, warm, and faintly floral, with an aftertaste of copper.</x:v>
      </x:c>
    </x:row>
    <x:row r="206">
      <x:c r="A206" s="38" t="str">
        <x:v>Fourth Slot</x:v>
      </x:c>
      <x:c r="B206" s="51" t="str">
        <x:v>Monster Parts</x:v>
      </x:c>
      <x:c r="C206" s="51" t="str">
        <x:v>Rare</x:v>
      </x:c>
      <x:c r="D206" s="51" t="str">
        <x:v>Confusion Motes</x:v>
      </x:c>
      <x:c r="E206" s="51" t="str">
        <x:v>Confusion, Mind, Psychic</x:v>
      </x:c>
      <x:c r="F206" s="51" t="str">
        <x:v>Duration +25%; Save DC +1</x:v>
      </x:c>
      <x:c r="G206" s="39" t="str">
        <x:v>Pink-violet motes split into mismatched reflections. They smell of ink and flowers, and make simple patterns difficult to follow.</x:v>
      </x:c>
    </x:row>
    <x:row r="207">
      <x:c r="A207" s="38" t="str">
        <x:v>Fourth Slot</x:v>
      </x:c>
      <x:c r="B207" s="51" t="str">
        <x:v>Monster Parts</x:v>
      </x:c>
      <x:c r="C207" s="51" t="str">
        <x:v>Rare</x:v>
      </x:c>
      <x:c r="D207" s="51" t="str">
        <x:v>Dread Essence</x:v>
      </x:c>
      <x:c r="E207" s="51" t="str">
        <x:v>Fear, Mind</x:v>
      </x:c>
      <x:c r="F207" s="51" t="str">
        <x:v>Duration +25%; Save DC +1</x:v>
      </x:c>
      <x:c r="G207" s="39" t="str">
        <x:v>A smoke-dark essence contracts when touched by warm light. It smells of cold sweat, extinguished candles, and damp earth.</x:v>
      </x:c>
    </x:row>
    <x:row r="208">
      <x:c r="A208" s="38" t="str">
        <x:v>Fourth Slot</x:v>
      </x:c>
      <x:c r="B208" s="51" t="str">
        <x:v>Monster Parts</x:v>
      </x:c>
      <x:c r="C208" s="51" t="str">
        <x:v>Rare</x:v>
      </x:c>
      <x:c r="D208" s="51" t="str">
        <x:v>Dreadcap Spore Cluster</x:v>
      </x:c>
      <x:c r="E208" s="51" t="str">
        <x:v>Fear, Mind</x:v>
      </x:c>
      <x:c r="F208" s="51" t="str">
        <x:v>Save DC +1</x:v>
      </x:c>
      <x:c r="G208" s="39" t="str">
        <x:v>A black-purple knot of spores that contracts when exposed to breath. It smells of cold sweat, grave soil, and extinguished candles, and whispers like distant footsteps.</x:v>
      </x:c>
    </x:row>
    <x:row r="209">
      <x:c r="A209" s="38" t="str">
        <x:v>Fourth Slot</x:v>
      </x:c>
      <x:c r="B209" s="51" t="str">
        <x:v>Monster Parts</x:v>
      </x:c>
      <x:c r="C209" s="51" t="str">
        <x:v>Rare</x:v>
      </x:c>
      <x:c r="D209" s="51" t="str">
        <x:v>Ettercap Resin Gland</x:v>
      </x:c>
      <x:c r="E209" s="51" t="str">
        <x:v>Restraint, Binding</x:v>
      </x:c>
      <x:c r="F209" s="51" t="str">
        <x:v>Save DC +1</x:v>
      </x:c>
      <x:c r="G209" s="39" t="str">
        <x:v>A thumb-sized gland packed with clear, ropey resin. It smells of wet silk and bitter pine, stretches several feet before snapping, and hardens instantly in dry air.</x:v>
      </x:c>
    </x:row>
    <x:row r="210">
      <x:c r="A210" s="38" t="str">
        <x:v>Fourth Slot</x:v>
      </x:c>
      <x:c r="B210" s="51" t="str">
        <x:v>Monster Parts</x:v>
      </x:c>
      <x:c r="C210" s="51" t="str">
        <x:v>Rare</x:v>
      </x:c>
      <x:c r="D210" s="51" t="str">
        <x:v>Fire Gland</x:v>
      </x:c>
      <x:c r="E210" s="51" t="str">
        <x:v>Fire</x:v>
      </x:c>
      <x:c r="F210" s="51" t="str">
        <x:v>Effect +50%; Duration +25%</x:v>
      </x:c>
      <x:c r="G210" s="39" t="str">
        <x:v>A warm, pulsing gland with ember-red veins. It smells of scorched hide and mineral smoke.</x:v>
      </x:c>
    </x:row>
    <x:row r="211">
      <x:c r="A211" s="38" t="str">
        <x:v>Fourth Slot</x:v>
      </x:c>
      <x:c r="B211" s="51" t="str">
        <x:v>Monster Parts</x:v>
      </x:c>
      <x:c r="C211" s="51" t="str">
        <x:v>Rare</x:v>
      </x:c>
      <x:c r="D211" s="51" t="str">
        <x:v>Force Motes</x:v>
      </x:c>
      <x:c r="E211" s="51" t="str">
        <x:v>Force</x:v>
      </x:c>
      <x:c r="F211" s="51" t="str">
        <x:v>Effect +50%</x:v>
      </x:c>
      <x:c r="G211" s="39" t="str">
        <x:v>Clear motes knock against the vial without touching it. The container hums in the palm and smells faintly of ozone and clean glass.</x:v>
      </x:c>
    </x:row>
    <x:row r="212">
      <x:c r="A212" s="38" t="str">
        <x:v>Fourth Slot</x:v>
      </x:c>
      <x:c r="B212" s="51" t="str">
        <x:v>Monster Parts</x:v>
      </x:c>
      <x:c r="C212" s="51" t="str">
        <x:v>Rare</x:v>
      </x:c>
      <x:c r="D212" s="51" t="str">
        <x:v>Ghoul Ichor</x:v>
      </x:c>
      <x:c r="E212" s="51" t="str">
        <x:v>Paralysis, Nerve</x:v>
      </x:c>
      <x:c r="F212" s="51" t="str">
        <x:v>Save DC +1</x:v>
      </x:c>
      <x:c r="G212" s="39" t="str">
        <x:v>A gray-black ichor that clings in strings. It smells of grave soil, rot, and numbing cold.</x:v>
      </x:c>
    </x:row>
    <x:row r="213">
      <x:c r="A213" s="38" t="str">
        <x:v>Fourth Slot</x:v>
      </x:c>
      <x:c r="B213" s="51" t="str">
        <x:v>Monster Parts</x:v>
      </x:c>
      <x:c r="C213" s="51" t="str">
        <x:v>Rare</x:v>
      </x:c>
      <x:c r="D213" s="51" t="str">
        <x:v>Lightning Gland</x:v>
      </x:c>
      <x:c r="E213" s="51" t="str">
        <x:v>Lightning, Stunning</x:v>
      </x:c>
      <x:c r="F213" s="51" t="str">
        <x:v>Effect +50%; Area / Range +25%</x:v>
      </x:c>
      <x:c r="G213" s="39" t="str">
        <x:v>A violet gland crossed by blue sparks. It twitches near metal, raises the hair on the wrist, and smells of rain on copper.</x:v>
      </x:c>
    </x:row>
    <x:row r="214">
      <x:c r="A214" s="38" t="str">
        <x:v>Fourth Slot</x:v>
      </x:c>
      <x:c r="B214" s="51" t="str">
        <x:v>Monster Parts</x:v>
      </x:c>
      <x:c r="C214" s="51" t="str">
        <x:v>Rare</x:v>
      </x:c>
      <x:c r="D214" s="51" t="str">
        <x:v>Necrotic Essence</x:v>
      </x:c>
      <x:c r="E214" s="51" t="str">
        <x:v>Necrotic, Death</x:v>
      </x:c>
      <x:c r="F214" s="51" t="str">
        <x:v>Effect +50%; Save DC +1</x:v>
      </x:c>
      <x:c r="G214" s="39" t="str">
        <x:v>A gray-black essence that settles beneath every liquid. It chills nearby skin and smells of old incense, cold soil, and stone crypts.</x:v>
      </x:c>
    </x:row>
    <x:row r="215">
      <x:c r="A215" s="38" t="str">
        <x:v>Fourth Slot</x:v>
      </x:c>
      <x:c r="B215" s="51" t="str">
        <x:v>Monster Parts</x:v>
      </x:c>
      <x:c r="C215" s="51" t="str">
        <x:v>Rare</x:v>
      </x:c>
      <x:c r="D215" s="51" t="str">
        <x:v>Nerve Gland</x:v>
      </x:c>
      <x:c r="E215" s="51" t="str">
        <x:v>Paralysis, Nerve</x:v>
      </x:c>
      <x:c r="F215" s="51" t="str">
        <x:v>Effect +25%; Save DC +1</x:v>
      </x:c>
      <x:c r="G215" s="39" t="str">
        <x:v>A pale branching gland twitches when exposed to air. It smells of salt, bitter roots, and a sharp electrical tang.</x:v>
      </x:c>
    </x:row>
    <x:row r="216">
      <x:c r="A216" s="38" t="str">
        <x:v>Fourth Slot</x:v>
      </x:c>
      <x:c r="B216" s="51" t="str">
        <x:v>Monster Parts</x:v>
      </x:c>
      <x:c r="C216" s="51" t="str">
        <x:v>Rare</x:v>
      </x:c>
      <x:c r="D216" s="51" t="str">
        <x:v>Psychic Gland</x:v>
      </x:c>
      <x:c r="E216" s="51" t="str">
        <x:v>Psychic, Mind, Confusion</x:v>
      </x:c>
      <x:c r="F216" s="51" t="str">
        <x:v>Effect +50%; Save DC +1</x:v>
      </x:c>
      <x:c r="G216" s="39" t="str">
        <x:v>A violet gland patterned with silver folds that shift when watched. It pulses near thoughts and smells of ozone, ink, and lavender.</x:v>
      </x:c>
    </x:row>
    <x:row r="217">
      <x:c r="A217" s="38" t="str">
        <x:v>Fourth Slot</x:v>
      </x:c>
      <x:c r="B217" s="51" t="str">
        <x:v>Monster Parts</x:v>
      </x:c>
      <x:c r="C217" s="51" t="str">
        <x:v>Rare</x:v>
      </x:c>
      <x:c r="D217" s="51" t="str">
        <x:v>Radiant Motes</x:v>
      </x:c>
      <x:c r="E217" s="51" t="str">
        <x:v>Radiant, Holy</x:v>
      </x:c>
      <x:c r="F217" s="51" t="str">
        <x:v>Effect +50%</x:v>
      </x:c>
      <x:c r="G217" s="39" t="str">
        <x:v>Gold-white motes glow with steady warmth and leave no shadow. They smell of candle wax, clean linen, and sun-warmed stone.</x:v>
      </x:c>
    </x:row>
    <x:row r="218">
      <x:c r="A218" s="38" t="str">
        <x:v>Fourth Slot</x:v>
      </x:c>
      <x:c r="B218" s="51" t="str">
        <x:v>Monster Parts</x:v>
      </x:c>
      <x:c r="C218" s="51" t="str">
        <x:v>Rare</x:v>
      </x:c>
      <x:c r="D218" s="51" t="str">
        <x:v>Siren Gland Extract</x:v>
      </x:c>
      <x:c r="E218" s="51" t="str">
        <x:v>Charm, Mind</x:v>
      </x:c>
      <x:c r="F218" s="51" t="str">
        <x:v>Save DC +1</x:v>
      </x:c>
      <x:c r="G218" s="39" t="str">
        <x:v>A rose-gold extract that vibrates inside sealed glass. It smells of salt spray and sweet wine, and a faint melody can be heard when the vial is held to the ear.</x:v>
      </x:c>
    </x:row>
    <x:row r="219">
      <x:c r="A219" s="38" t="str">
        <x:v>Fourth Slot</x:v>
      </x:c>
      <x:c r="B219" s="51" t="str">
        <x:v>Monster Parts</x:v>
      </x:c>
      <x:c r="C219" s="51" t="str">
        <x:v>Rare</x:v>
      </x:c>
      <x:c r="D219" s="51" t="str">
        <x:v>Stunning Gland</x:v>
      </x:c>
      <x:c r="E219" s="51" t="str">
        <x:v>Stunning, Nerve, Lightning, Thunder</x:v>
      </x:c>
      <x:c r="F219" s="51" t="str">
        <x:v>Area / Range +25%; Save DC +1</x:v>
      </x:c>
      <x:c r="G219" s="39" t="str">
        <x:v>A bright blue gland flashes in abrupt pulses. It makes the jaw ache when held and smells of ozone and cold metal.</x:v>
      </x:c>
    </x:row>
    <x:row r="220">
      <x:c r="A220" s="38" t="str">
        <x:v>Fourth Slot</x:v>
      </x:c>
      <x:c r="B220" s="51" t="str">
        <x:v>Monster Parts</x:v>
      </x:c>
      <x:c r="C220" s="51" t="str">
        <x:v>Rare</x:v>
      </x:c>
      <x:c r="D220" s="51" t="str">
        <x:v>Thunder Gland</x:v>
      </x:c>
      <x:c r="E220" s="51" t="str">
        <x:v>Thunder, Sound, Deafness</x:v>
      </x:c>
      <x:c r="F220" s="51" t="str">
        <x:v>Effect +50%; Area / Range +25%</x:v>
      </x:c>
      <x:c r="G220" s="39" t="str">
        <x:v>A hollow blue gland vibrates with a tone felt more than heard. It smells of rain, slate, and split wood.</x:v>
      </x:c>
    </x:row>
    <x:row r="221">
      <x:c r="A221" s="38" t="str">
        <x:v>Fourth Slot</x:v>
      </x:c>
      <x:c r="B221" s="51" t="str">
        <x:v>Monster Parts</x:v>
      </x:c>
      <x:c r="C221" s="51" t="str">
        <x:v>Rare</x:v>
      </x:c>
      <x:c r="D221" s="51" t="str">
        <x:v>Troll Blood</x:v>
      </x:c>
      <x:c r="E221" s="51" t="str">
        <x:v>Regeneration, Vitality</x:v>
      </x:c>
      <x:c r="F221" s="51" t="str">
        <x:v>Effect +25%</x:v>
      </x:c>
      <x:c r="G221" s="39" t="str">
        <x:v>Thick green-black blood that knits back together after being stirred. It smells of wet hide, iron, and swamp rot.</x:v>
      </x:c>
    </x:row>
    <x:row r="222">
      <x:c r="A222" s="38" t="str">
        <x:v>Fourth Slot</x:v>
      </x:c>
      <x:c r="B222" s="51" t="str">
        <x:v>Monster Parts</x:v>
      </x:c>
      <x:c r="C222" s="51" t="str">
        <x:v>Rare</x:v>
      </x:c>
      <x:c r="D222" s="51" t="str">
        <x:v>Wyvern Venom</x:v>
      </x:c>
      <x:c r="E222" s="51" t="str">
        <x:v>Poison, Venom</x:v>
      </x:c>
      <x:c r="F222" s="51" t="str">
        <x:v>Save DC +1; Die step +1</x:v>
      </x:c>
      <x:c r="G222" s="39" t="str">
        <x:v>A clear green venom that beads like oil. It smells of crushed nettles, copper, and sharp animal musk.</x:v>
      </x:c>
    </x:row>
    <x:row r="223">
      <x:c r="A223" s="38" t="str">
        <x:v>Fourth Slot</x:v>
      </x:c>
      <x:c r="B223" s="51" t="str">
        <x:v>Monster Parts</x:v>
      </x:c>
      <x:c r="C223" s="51" t="str">
        <x:v>Very Rare</x:v>
      </x:c>
      <x:c r="D223" s="51" t="str">
        <x:v>Basilisk Bile</x:v>
      </x:c>
      <x:c r="E223" s="51" t="str">
        <x:v>Petrification, Stone</x:v>
      </x:c>
      <x:c r="F223" s="51" t="str">
        <x:v>Save DC +2</x:v>
      </x:c>
      <x:c r="G223" s="39" t="str">
        <x:v>A gritty yellow bile that leaves stone-colored streaks in the vial. It smells chalky, sour, and reptilian.</x:v>
      </x:c>
    </x:row>
    <x:row r="224">
      <x:c r="A224" s="38" t="str">
        <x:v>Fourth Slot</x:v>
      </x:c>
      <x:c r="B224" s="51" t="str">
        <x:v>Monster Parts</x:v>
      </x:c>
      <x:c r="C224" s="51" t="str">
        <x:v>Very Rare</x:v>
      </x:c>
      <x:c r="D224" s="51" t="str">
        <x:v>Celestial Blood</x:v>
      </x:c>
      <x:c r="E224" s="51" t="str">
        <x:v>Radiant, Holy</x:v>
      </x:c>
      <x:c r="F224" s="51" t="str">
        <x:v>Effect +25%; Die step +1</x:v>
      </x:c>
      <x:c r="G224" s="39" t="str">
        <x:v>Luminous silver-gold blood moves like liquid light. It warms the hands and smells of spring rain, incense, and fresh air.</x:v>
      </x:c>
    </x:row>
    <x:row r="225">
      <x:c r="A225" s="38" t="str">
        <x:v>Fourth Slot</x:v>
      </x:c>
      <x:c r="B225" s="51" t="str">
        <x:v>Monster Parts</x:v>
      </x:c>
      <x:c r="C225" s="51" t="str">
        <x:v>Very Rare</x:v>
      </x:c>
      <x:c r="D225" s="51" t="str">
        <x:v>Demonic Blood</x:v>
      </x:c>
      <x:c r="E225" s="51" t="str">
        <x:v>Fire, Necrotic, Fear, Infernal</x:v>
      </x:c>
      <x:c r="F225" s="51" t="str">
        <x:v>Effect +75%; Save DC +1</x:v>
      </x:c>
      <x:c r="G225" s="39" t="str">
        <x:v>Thick black-red blood rolls against gravity and steams in cool air. It smells of sulfur, iron, and burned leather.</x:v>
      </x:c>
    </x:row>
    <x:row r="226">
      <x:c r="A226" s="38" t="str">
        <x:v>Fourth Slot</x:v>
      </x:c>
      <x:c r="B226" s="51" t="str">
        <x:v>Monster Parts</x:v>
      </x:c>
      <x:c r="C226" s="51" t="str">
        <x:v>Very Rare</x:v>
      </x:c>
      <x:c r="D226" s="51" t="str">
        <x:v>Dragon Gland</x:v>
      </x:c>
      <x:c r="E226" s="51" t="str">
        <x:v>Fire, Dragon</x:v>
      </x:c>
      <x:c r="F226" s="51" t="str">
        <x:v>Effect +50%; Die step +1</x:v>
      </x:c>
      <x:c r="G226" s="39" t="str">
        <x:v>A preserved gland that pulses with elemental heat. It smells of scales, smoke, and old treasure chambers.</x:v>
      </x:c>
    </x:row>
    <x:row r="227">
      <x:c r="A227" s="38" t="str">
        <x:v>Fourth Slot</x:v>
      </x:c>
      <x:c r="B227" s="51" t="str">
        <x:v>Monster Parts</x:v>
      </x:c>
      <x:c r="C227" s="51" t="str">
        <x:v>Very Rare</x:v>
      </x:c>
      <x:c r="D227" s="51" t="str">
        <x:v>Force Gland</x:v>
      </x:c>
      <x:c r="E227" s="51" t="str">
        <x:v>Force</x:v>
      </x:c>
      <x:c r="F227" s="51" t="str">
        <x:v>Effect +25%; Die step +1</x:v>
      </x:c>
      <x:c r="G227" s="39" t="str">
        <x:v>A colorless knot of dense tissue that makes nearby dust orbit it. It feels heavy, vibrates under pressure, and carries no natural scent.</x:v>
      </x:c>
    </x:row>
    <x:row r="228">
      <x:c r="A228" s="38" t="str">
        <x:v>Fourth Slot</x:v>
      </x:c>
      <x:c r="B228" s="51" t="str">
        <x:v>Monster Parts</x:v>
      </x:c>
      <x:c r="C228" s="51" t="str">
        <x:v>Very Rare</x:v>
      </x:c>
      <x:c r="D228" s="51" t="str">
        <x:v>Kaorti Ichor</x:v>
      </x:c>
      <x:c r="E228" s="51" t="str">
        <x:v>Confusion, Psychic</x:v>
      </x:c>
      <x:c r="F228" s="51" t="str">
        <x:v>Effect +50%; Save DC +2</x:v>
      </x:c>
      <x:c r="G228" s="39" t="str">
        <x:v>A black-violet ichor that ripples in impossible patterns. It smells alien, sweet, and nauseatingly clean.</x:v>
      </x:c>
    </x:row>
    <x:row r="229">
      <x:c r="A229" s="38" t="str">
        <x:v>Fourth Slot</x:v>
      </x:c>
      <x:c r="B229" s="51" t="str">
        <x:v>Monster Parts</x:v>
      </x:c>
      <x:c r="C229" s="51" t="str">
        <x:v>Very Rare</x:v>
      </x:c>
      <x:c r="D229" s="51" t="str">
        <x:v>Petrifying Blood</x:v>
      </x:c>
      <x:c r="E229" s="51" t="str">
        <x:v>Petrification, Stone</x:v>
      </x:c>
      <x:c r="F229" s="51" t="str">
        <x:v>Duration +25%; Save DC +2</x:v>
      </x:c>
      <x:c r="G229" s="39" t="str">
        <x:v>Gray-gold blood thickens into stone-like flakes along the vial. It smells of limestone, iron, and rain on statues.</x:v>
      </x:c>
    </x:row>
    <x:row r="230">
      <x:c r="A230" s="38" t="str">
        <x:v>Fourth Slot</x:v>
      </x:c>
      <x:c r="B230" s="51" t="str">
        <x:v>Monster Parts</x:v>
      </x:c>
      <x:c r="C230" s="51" t="str">
        <x:v>Very Rare</x:v>
      </x:c>
      <x:c r="D230" s="51" t="str">
        <x:v>Phase Residue</x:v>
      </x:c>
      <x:c r="E230" s="51" t="str">
        <x:v>Phase Displacement, Phase, Force</x:v>
      </x:c>
      <x:c r="F230" s="51" t="str">
        <x:v>Duration +50%</x:v>
      </x:c>
      <x:c r="G230" s="39" t="str">
        <x:v>A pearly residue that blurs at the edge of sight. It smells like ozone, fog, and empty rooms.</x:v>
      </x:c>
    </x:row>
    <x:row r="231">
      <x:c r="A231" s="40" t="str">
        <x:v>Fourth Slot</x:v>
      </x:c>
      <x:c r="B231" s="52" t="str">
        <x:v>Monster Parts</x:v>
      </x:c>
      <x:c r="C231" s="52" t="str">
        <x:v>Very Rare</x:v>
      </x:c>
      <x:c r="D231" s="52" t="str">
        <x:v>Shock Eel Cerebrum</x:v>
      </x:c>
      <x:c r="E231" s="52" t="str">
        <x:v>Stunning, Lightning, Nerve</x:v>
      </x:c>
      <x:c r="F231" s="52" t="str">
        <x:v>Die step +1</x:v>
      </x:c>
      <x:c r="G231" s="41" t="str">
        <x:v>A translucent blue organ suspended in conductive brine. It crackles against metal, smells sharply of ozone and seawater, and causes the fingers to twitch nearby.</x:v>
      </x:c>
    </x:row>
  </x:sheetData>
  <x:conditionalFormatting sqref="C2:C231">
    <x:cfRule type="expression" dxfId="0" priority="1">
      <x:formula>C2="Common"</x:formula>
    </x:cfRule>
    <x:cfRule type="expression" dxfId="1" priority="2">
      <x:formula>C2="Uncommon"</x:formula>
    </x:cfRule>
    <x:cfRule type="expression" dxfId="2" priority="3">
      <x:formula>C2="Rare"</x:formula>
    </x:cfRule>
    <x:cfRule type="expression" dxfId="3" priority="4">
      <x:formula>C2="Very Rare"</x:formula>
    </x:cfRule>
    <x:cfRule type="expression" dxfId="4" priority="5">
      <x:formula>C2="Legendary"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9b7c8a9c7447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13" hidden="0" customWidth="1"/>
    <x:col min="5" max="5" width="14" hidden="0" customWidth="1"/>
    <x:col min="6" max="6" width="21" hidden="0" customWidth="1"/>
    <x:col min="7" max="7" width="21" hidden="0" customWidth="1"/>
    <x:col min="8" max="8" width="21" hidden="0" customWidth="1"/>
    <x:col min="9" max="9" width="35" hidden="0" customWidth="1"/>
    <x:col min="10" max="10" width="18" hidden="0" customWidth="1"/>
    <x:col min="11" max="11" width="72" hidden="0" customWidth="1"/>
    <x:col min="12" max="12" width="24" hidden="0" customWidth="1"/>
    <x:col min="13" max="13" width="16" hidden="0" customWidth="1"/>
    <x:col min="14" max="14" width="26" hidden="0" customWidth="1"/>
  </x:cols>
  <x:sheetData>
    <x:row r="1">
      <x:c r="A1" s="26" t="str">
        <x:v>Type</x:v>
      </x:c>
      <x:c r="B1" s="46" t="str">
        <x:v>Recipe Group</x:v>
      </x:c>
      <x:c r="C1" s="46" t="str">
        <x:v>Recipe</x:v>
      </x:c>
      <x:c r="D1" s="46" t="str">
        <x:v>Rarity</x:v>
      </x:c>
      <x:c r="E1" s="46" t="str">
        <x:v>Base Craft DC</x:v>
      </x:c>
      <x:c r="F1" s="46" t="str">
        <x:v>Core Ingredient 1</x:v>
      </x:c>
      <x:c r="G1" s="46" t="str">
        <x:v>Core Ingredient 2</x:v>
      </x:c>
      <x:c r="H1" s="46" t="str">
        <x:v>Core Ingredient 3</x:v>
      </x:c>
      <x:c r="I1" s="46" t="str">
        <x:v>Required Fourth-Slot Tags</x:v>
      </x:c>
      <x:c r="J1" s="46" t="str">
        <x:v>Duration</x:v>
      </x:c>
      <x:c r="K1" s="46" t="str">
        <x:v>Base Effect</x:v>
      </x:c>
      <x:c r="L1" s="46" t="str">
        <x:v>Area of Effect</x:v>
      </x:c>
      <x:c r="M1" s="46" t="str">
        <x:v>Save Ability</x:v>
      </x:c>
      <x:c r="N1" s="27" t="str">
        <x:v>Use</x:v>
      </x:c>
    </x:row>
    <x:row r="2">
      <x:c r="A2" s="38" t="str">
        <x:v>Potions</x:v>
      </x:c>
      <x:c r="B2" s="51" t="str">
        <x:v>Elemental Breath Potions</x:v>
      </x:c>
      <x:c r="C2" s="51" t="str">
        <x:v>Potion of Acid Breath</x:v>
      </x:c>
      <x:c r="D2" s="51" t="str">
        <x:v>Uncommon</x:v>
      </x:c>
      <x:c r="E2" s="51" t="n">
        <x:v>22</x:v>
      </x:c>
      <x:c r="F2" s="51" t="str">
        <x:v>Mineral / Salt / Ash</x:v>
      </x:c>
      <x:c r="G2" s="51" t="str">
        <x:v>Sap / Resin</x:v>
      </x:c>
      <x:c r="H2" s="51" t="str">
        <x:v>Thorn / Bark / Wood</x:v>
      </x:c>
      <x:c r="I2" s="51" t="str">
        <x:v>Acid</x:v>
      </x:c>
      <x:c r="J2" s="51" t="str">
        <x:v>1 hour or 3 uses</x:v>
      </x:c>
      <x:c r="K2" s="51" t="str">
        <x:v>For 1 hour, the drinker can use a Bonus Action up to three times to exhale a 15-foot cone. Creatures in the cone make a Dexterity saving throw, taking 4d6 acid damage on a failed save or half as much on a success.</x:v>
      </x:c>
      <x:c r="L2" s="51" t="str">
        <x:v>15-foot cone</x:v>
      </x:c>
      <x:c r="M2" s="51" t="str">
        <x:v>Dexterity</x:v>
      </x:c>
      <x:c r="N2" s="39" t="str">
        <x:v>Bonus Action to use or apply</x:v>
      </x:c>
    </x:row>
    <x:row r="3">
      <x:c r="A3" s="38" t="str">
        <x:v>Potions</x:v>
      </x:c>
      <x:c r="B3" s="51" t="str">
        <x:v>Elemental Breath Potions</x:v>
      </x:c>
      <x:c r="C3" s="51" t="str">
        <x:v>Potion of Cold Breath</x:v>
      </x:c>
      <x:c r="D3" s="51" t="str">
        <x:v>Uncommon</x:v>
      </x:c>
      <x:c r="E3" s="51" t="n">
        <x:v>22</x:v>
      </x:c>
      <x:c r="F3" s="51" t="str">
        <x:v>Mineral / Salt / Ash</x:v>
      </x:c>
      <x:c r="G3" s="51" t="str">
        <x:v>Sap / Resin</x:v>
      </x:c>
      <x:c r="H3" s="51" t="str">
        <x:v>Thorn / Bark / Wood</x:v>
      </x:c>
      <x:c r="I3" s="51" t="str">
        <x:v>Cold</x:v>
      </x:c>
      <x:c r="J3" s="51" t="str">
        <x:v>1 hour or 3 uses</x:v>
      </x:c>
      <x:c r="K3" s="51" t="str">
        <x:v>For 1 hour, the drinker can use a Bonus Action up to three times to exhale a 15-foot cone. Creatures in the cone make a Constitution saving throw, taking 4d6 cold damage on a failed save or half as much on a success.</x:v>
      </x:c>
      <x:c r="L3" s="51" t="str">
        <x:v>15-foot cone</x:v>
      </x:c>
      <x:c r="M3" s="51" t="str">
        <x:v>Constitution</x:v>
      </x:c>
      <x:c r="N3" s="39" t="str">
        <x:v>Bonus Action to use or apply</x:v>
      </x:c>
    </x:row>
    <x:row r="4">
      <x:c r="A4" s="38" t="str">
        <x:v>Potions</x:v>
      </x:c>
      <x:c r="B4" s="51" t="str">
        <x:v>Elemental Breath Potions</x:v>
      </x:c>
      <x:c r="C4" s="51" t="str">
        <x:v>Potion of Fire Breath</x:v>
      </x:c>
      <x:c r="D4" s="51" t="str">
        <x:v>Uncommon</x:v>
      </x:c>
      <x:c r="E4" s="51" t="n">
        <x:v>22</x:v>
      </x:c>
      <x:c r="F4" s="51" t="str">
        <x:v>Mineral / Salt / Ash</x:v>
      </x:c>
      <x:c r="G4" s="51" t="str">
        <x:v>Sap / Resin</x:v>
      </x:c>
      <x:c r="H4" s="51" t="str">
        <x:v>Thorn / Bark / Wood</x:v>
      </x:c>
      <x:c r="I4" s="51" t="str">
        <x:v>Fire</x:v>
      </x:c>
      <x:c r="J4" s="51" t="str">
        <x:v>1 hour or 3 uses</x:v>
      </x:c>
      <x:c r="K4" s="51" t="str">
        <x:v>For 1 hour, the drinker can use a Bonus Action up to three times to exhale a 15-foot cone. Creatures in the cone make a Dexterity saving throw, taking 4d6 fire damage on a failed save or half as much on a success.</x:v>
      </x:c>
      <x:c r="L4" s="51" t="str">
        <x:v>15-foot cone</x:v>
      </x:c>
      <x:c r="M4" s="51" t="str">
        <x:v>Dexterity</x:v>
      </x:c>
      <x:c r="N4" s="39" t="str">
        <x:v>Bonus Action to use or apply</x:v>
      </x:c>
    </x:row>
    <x:row r="5">
      <x:c r="A5" s="38" t="str">
        <x:v>Potions</x:v>
      </x:c>
      <x:c r="B5" s="51" t="str">
        <x:v>Elemental Breath Potions</x:v>
      </x:c>
      <x:c r="C5" s="51" t="str">
        <x:v>Potion of Force Breath</x:v>
      </x:c>
      <x:c r="D5" s="51" t="str">
        <x:v>Rare</x:v>
      </x:c>
      <x:c r="E5" s="51" t="n">
        <x:v>28</x:v>
      </x:c>
      <x:c r="F5" s="51" t="str">
        <x:v>Mineral / Salt / Ash</x:v>
      </x:c>
      <x:c r="G5" s="51" t="str">
        <x:v>Sap / Resin</x:v>
      </x:c>
      <x:c r="H5" s="51" t="str">
        <x:v>Thorn / Bark / Wood</x:v>
      </x:c>
      <x:c r="I5" s="51" t="str">
        <x:v>Force</x:v>
      </x:c>
      <x:c r="J5" s="51" t="str">
        <x:v>1 hour or 3 uses</x:v>
      </x:c>
      <x:c r="K5" s="51" t="str">
        <x:v>For 1 hour, the drinker can use a Bonus Action up to three times to exhale a 15-foot cone. Creatures in the cone make a Strength saving throw, taking 4d6 force damage on a failed save or half as much on a success.</x:v>
      </x:c>
      <x:c r="L5" s="51" t="str">
        <x:v>15-foot cone</x:v>
      </x:c>
      <x:c r="M5" s="51" t="str">
        <x:v>Strength</x:v>
      </x:c>
      <x:c r="N5" s="39" t="str">
        <x:v>Bonus Action to use or apply</x:v>
      </x:c>
    </x:row>
    <x:row r="6">
      <x:c r="A6" s="38" t="str">
        <x:v>Potions</x:v>
      </x:c>
      <x:c r="B6" s="51" t="str">
        <x:v>Elemental Breath Potions</x:v>
      </x:c>
      <x:c r="C6" s="51" t="str">
        <x:v>Potion of Lightning Breath</x:v>
      </x:c>
      <x:c r="D6" s="51" t="str">
        <x:v>Uncommon</x:v>
      </x:c>
      <x:c r="E6" s="51" t="n">
        <x:v>22</x:v>
      </x:c>
      <x:c r="F6" s="51" t="str">
        <x:v>Mineral / Salt / Ash</x:v>
      </x:c>
      <x:c r="G6" s="51" t="str">
        <x:v>Sap / Resin</x:v>
      </x:c>
      <x:c r="H6" s="51" t="str">
        <x:v>Thorn / Bark / Wood</x:v>
      </x:c>
      <x:c r="I6" s="51" t="str">
        <x:v>Lightning</x:v>
      </x:c>
      <x:c r="J6" s="51" t="str">
        <x:v>1 hour or 3 uses</x:v>
      </x:c>
      <x:c r="K6" s="51" t="str">
        <x:v>For 1 hour, the drinker can use a Bonus Action up to three times to exhale a 15-foot cone. Creatures in the cone make a Dexterity saving throw, taking 4d6 lightning damage on a failed save or half as much on a success.</x:v>
      </x:c>
      <x:c r="L6" s="51" t="str">
        <x:v>15-foot cone</x:v>
      </x:c>
      <x:c r="M6" s="51" t="str">
        <x:v>Dexterity</x:v>
      </x:c>
      <x:c r="N6" s="39" t="str">
        <x:v>Bonus Action to use or apply</x:v>
      </x:c>
    </x:row>
    <x:row r="7">
      <x:c r="A7" s="38" t="str">
        <x:v>Potions</x:v>
      </x:c>
      <x:c r="B7" s="51" t="str">
        <x:v>Elemental Breath Potions</x:v>
      </x:c>
      <x:c r="C7" s="51" t="str">
        <x:v>Potion of Necrotic Breath</x:v>
      </x:c>
      <x:c r="D7" s="51" t="str">
        <x:v>Rare</x:v>
      </x:c>
      <x:c r="E7" s="51" t="n">
        <x:v>28</x:v>
      </x:c>
      <x:c r="F7" s="51" t="str">
        <x:v>Mineral / Salt / Ash</x:v>
      </x:c>
      <x:c r="G7" s="51" t="str">
        <x:v>Sap / Resin</x:v>
      </x:c>
      <x:c r="H7" s="51" t="str">
        <x:v>Thorn / Bark / Wood</x:v>
      </x:c>
      <x:c r="I7" s="51" t="str">
        <x:v>Necrotic</x:v>
      </x:c>
      <x:c r="J7" s="51" t="str">
        <x:v>1 hour or 3 uses</x:v>
      </x:c>
      <x:c r="K7" s="51" t="str">
        <x:v>For 1 hour, the drinker can use a Bonus Action up to three times to exhale a 15-foot cone. Creatures in the cone make a Constitution saving throw, taking 4d6 necrotic damage on a failed save or half as much on a success.</x:v>
      </x:c>
      <x:c r="L7" s="51" t="str">
        <x:v>15-foot cone</x:v>
      </x:c>
      <x:c r="M7" s="51" t="str">
        <x:v>Constitution</x:v>
      </x:c>
      <x:c r="N7" s="39" t="str">
        <x:v>Bonus Action to use or apply</x:v>
      </x:c>
    </x:row>
    <x:row r="8">
      <x:c r="A8" s="38" t="str">
        <x:v>Potions</x:v>
      </x:c>
      <x:c r="B8" s="51" t="str">
        <x:v>Elemental Breath Potions</x:v>
      </x:c>
      <x:c r="C8" s="51" t="str">
        <x:v>Potion of Poison Breath</x:v>
      </x:c>
      <x:c r="D8" s="51" t="str">
        <x:v>Uncommon</x:v>
      </x:c>
      <x:c r="E8" s="51" t="n">
        <x:v>22</x:v>
      </x:c>
      <x:c r="F8" s="51" t="str">
        <x:v>Mineral / Salt / Ash</x:v>
      </x:c>
      <x:c r="G8" s="51" t="str">
        <x:v>Sap / Resin</x:v>
      </x:c>
      <x:c r="H8" s="51" t="str">
        <x:v>Thorn / Bark / Wood</x:v>
      </x:c>
      <x:c r="I8" s="51" t="str">
        <x:v>Poison</x:v>
      </x:c>
      <x:c r="J8" s="51" t="str">
        <x:v>1 hour or 3 uses</x:v>
      </x:c>
      <x:c r="K8" s="51" t="str">
        <x:v>For 1 hour, the drinker can use a Bonus Action up to three times to exhale a 15-foot cone. Creatures in the cone make a Constitution saving throw, taking 4d6 poison damage on a failed save or half as much on a success.</x:v>
      </x:c>
      <x:c r="L8" s="51" t="str">
        <x:v>15-foot cone</x:v>
      </x:c>
      <x:c r="M8" s="51" t="str">
        <x:v>Constitution</x:v>
      </x:c>
      <x:c r="N8" s="39" t="str">
        <x:v>Bonus Action to use or apply</x:v>
      </x:c>
    </x:row>
    <x:row r="9">
      <x:c r="A9" s="38" t="str">
        <x:v>Potions</x:v>
      </x:c>
      <x:c r="B9" s="51" t="str">
        <x:v>Elemental Breath Potions</x:v>
      </x:c>
      <x:c r="C9" s="51" t="str">
        <x:v>Potion of Psychic Breath</x:v>
      </x:c>
      <x:c r="D9" s="51" t="str">
        <x:v>Rare</x:v>
      </x:c>
      <x:c r="E9" s="51" t="n">
        <x:v>28</x:v>
      </x:c>
      <x:c r="F9" s="51" t="str">
        <x:v>Mineral / Salt / Ash</x:v>
      </x:c>
      <x:c r="G9" s="51" t="str">
        <x:v>Sap / Resin</x:v>
      </x:c>
      <x:c r="H9" s="51" t="str">
        <x:v>Thorn / Bark / Wood</x:v>
      </x:c>
      <x:c r="I9" s="51" t="str">
        <x:v>Psychic</x:v>
      </x:c>
      <x:c r="J9" s="51" t="str">
        <x:v>1 hour or 3 uses</x:v>
      </x:c>
      <x:c r="K9" s="51" t="str">
        <x:v>For 1 hour, the drinker can use a Bonus Action up to three times to exhale a 15-foot cone. Creatures in the cone make a Wisdom saving throw, taking 4d6 psychic damage on a failed save or half as much on a success.</x:v>
      </x:c>
      <x:c r="L9" s="51" t="str">
        <x:v>15-foot cone</x:v>
      </x:c>
      <x:c r="M9" s="51" t="str">
        <x:v>Wisdom</x:v>
      </x:c>
      <x:c r="N9" s="39" t="str">
        <x:v>Bonus Action to use or apply</x:v>
      </x:c>
    </x:row>
    <x:row r="10">
      <x:c r="A10" s="38" t="str">
        <x:v>Potions</x:v>
      </x:c>
      <x:c r="B10" s="51" t="str">
        <x:v>Elemental Breath Potions</x:v>
      </x:c>
      <x:c r="C10" s="51" t="str">
        <x:v>Potion of Radiant Breath</x:v>
      </x:c>
      <x:c r="D10" s="51" t="str">
        <x:v>Rare</x:v>
      </x:c>
      <x:c r="E10" s="51" t="n">
        <x:v>28</x:v>
      </x:c>
      <x:c r="F10" s="51" t="str">
        <x:v>Mineral / Salt / Ash</x:v>
      </x:c>
      <x:c r="G10" s="51" t="str">
        <x:v>Sap / Resin</x:v>
      </x:c>
      <x:c r="H10" s="51" t="str">
        <x:v>Thorn / Bark / Wood</x:v>
      </x:c>
      <x:c r="I10" s="51" t="str">
        <x:v>Radiant</x:v>
      </x:c>
      <x:c r="J10" s="51" t="str">
        <x:v>1 hour or 3 uses</x:v>
      </x:c>
      <x:c r="K10" s="51" t="str">
        <x:v>For 1 hour, the drinker can use a Bonus Action up to three times to exhale a 15-foot cone. Creatures in the cone make a Constitution saving throw, taking 4d6 radiant damage on a failed save or half as much on a success.</x:v>
      </x:c>
      <x:c r="L10" s="51" t="str">
        <x:v>15-foot cone</x:v>
      </x:c>
      <x:c r="M10" s="51" t="str">
        <x:v>Constitution</x:v>
      </x:c>
      <x:c r="N10" s="39" t="str">
        <x:v>Bonus Action to use or apply</x:v>
      </x:c>
    </x:row>
    <x:row r="11">
      <x:c r="A11" s="38" t="str">
        <x:v>Potions</x:v>
      </x:c>
      <x:c r="B11" s="51" t="str">
        <x:v>Elemental Breath Potions</x:v>
      </x:c>
      <x:c r="C11" s="51" t="str">
        <x:v>Potion of Thunder Breath</x:v>
      </x:c>
      <x:c r="D11" s="51" t="str">
        <x:v>Uncommon</x:v>
      </x:c>
      <x:c r="E11" s="51" t="n">
        <x:v>22</x:v>
      </x:c>
      <x:c r="F11" s="51" t="str">
        <x:v>Mineral / Salt / Ash</x:v>
      </x:c>
      <x:c r="G11" s="51" t="str">
        <x:v>Sap / Resin</x:v>
      </x:c>
      <x:c r="H11" s="51" t="str">
        <x:v>Thorn / Bark / Wood</x:v>
      </x:c>
      <x:c r="I11" s="51" t="str">
        <x:v>Thunder</x:v>
      </x:c>
      <x:c r="J11" s="51" t="str">
        <x:v>1 hour or 3 uses</x:v>
      </x:c>
      <x:c r="K11" s="51" t="str">
        <x:v>For 1 hour, the drinker can use a Bonus Action up to three times to exhale a 15-foot cone. Creatures in the cone make a Constitution saving throw, taking 4d6 thunder damage on a failed save or half as much on a success.</x:v>
      </x:c>
      <x:c r="L11" s="51" t="str">
        <x:v>15-foot cone</x:v>
      </x:c>
      <x:c r="M11" s="51" t="str">
        <x:v>Constitution</x:v>
      </x:c>
      <x:c r="N11" s="39" t="str">
        <x:v>Bonus Action to use or apply</x:v>
      </x:c>
    </x:row>
    <x:row r="12">
      <x:c r="A12" s="38" t="str">
        <x:v>Potions</x:v>
      </x:c>
      <x:c r="B12" s="51" t="str">
        <x:v>General Potions</x:v>
      </x:c>
      <x:c r="C12" s="51" t="str">
        <x:v>Antitoxin</x:v>
      </x:c>
      <x:c r="D12" s="51" t="str">
        <x:v>Common</x:v>
      </x:c>
      <x:c r="E12" s="51" t="n">
        <x:v>16</x:v>
      </x:c>
      <x:c r="F12" s="51" t="str">
        <x:v>Root</x:v>
      </x:c>
      <x:c r="G12" s="51" t="str">
        <x:v>Mineral / Salt / Ash</x:v>
      </x:c>
      <x:c r="H12" s="51" t="str">
        <x:v>Flower</x:v>
      </x:c>
      <x:c r="I12" s="51" t="str"/>
      <x:c r="J12" s="51" t="str">
        <x:v>1 hour</x:v>
      </x:c>
      <x:c r="K12" s="51" t="str">
        <x:v>The drinker has Advantage on saving throws against poison.</x:v>
      </x:c>
      <x:c r="L12" s="51" t="str"/>
      <x:c r="M12" s="51" t="str"/>
      <x:c r="N12" s="39" t="str">
        <x:v>Bonus Action to use or apply</x:v>
      </x:c>
    </x:row>
    <x:row r="13">
      <x:c r="A13" s="38" t="str">
        <x:v>Potions</x:v>
      </x:c>
      <x:c r="B13" s="51" t="str">
        <x:v>General Potions</x:v>
      </x:c>
      <x:c r="C13" s="51" t="str">
        <x:v>Ironroot Salve</x:v>
      </x:c>
      <x:c r="D13" s="51" t="str">
        <x:v>Uncommon</x:v>
      </x:c>
      <x:c r="E13" s="51" t="n">
        <x:v>22</x:v>
      </x:c>
      <x:c r="F13" s="51" t="str">
        <x:v>Thorn / Bark / Wood</x:v>
      </x:c>
      <x:c r="G13" s="51" t="str">
        <x:v>Root</x:v>
      </x:c>
      <x:c r="H13" s="51" t="str">
        <x:v>Sap / Resin</x:v>
      </x:c>
      <x:c r="I13" s="51" t="str"/>
      <x:c r="J13" s="51" t="str">
        <x:v>1 hour</x:v>
      </x:c>
      <x:c r="K13" s="51" t="str">
        <x:v>The target gains a defensive buffer or improved resistance to forced movement by DM ruling.</x:v>
      </x:c>
      <x:c r="L13" s="51" t="str"/>
      <x:c r="M13" s="51" t="str"/>
      <x:c r="N13" s="39" t="str">
        <x:v>Bonus Action to use or apply</x:v>
      </x:c>
    </x:row>
    <x:row r="14">
      <x:c r="A14" s="38" t="str">
        <x:v>Potions</x:v>
      </x:c>
      <x:c r="B14" s="51" t="str">
        <x:v>General Potions</x:v>
      </x:c>
      <x:c r="C14" s="51" t="str">
        <x:v>Night-Eye Drops</x:v>
      </x:c>
      <x:c r="D14" s="51" t="str">
        <x:v>Uncommon</x:v>
      </x:c>
      <x:c r="E14" s="51" t="n">
        <x:v>22</x:v>
      </x:c>
      <x:c r="F14" s="51" t="str">
        <x:v>Flower</x:v>
      </x:c>
      <x:c r="G14" s="51" t="str">
        <x:v>Moss / Lichen</x:v>
      </x:c>
      <x:c r="H14" s="51" t="str">
        <x:v>Mineral / Salt / Ash</x:v>
      </x:c>
      <x:c r="I14" s="51" t="str"/>
      <x:c r="J14" s="51" t="str">
        <x:v>1 hour</x:v>
      </x:c>
      <x:c r="K14" s="51" t="str">
        <x:v>The user gains darkvision or improved low-light perception by DM ruling.</x:v>
      </x:c>
      <x:c r="L14" s="51" t="str"/>
      <x:c r="M14" s="51" t="str"/>
      <x:c r="N14" s="39" t="str">
        <x:v>Bonus Action to use or apply</x:v>
      </x:c>
    </x:row>
    <x:row r="15">
      <x:c r="A15" s="38" t="str">
        <x:v>Potions</x:v>
      </x:c>
      <x:c r="B15" s="51" t="str">
        <x:v>General Potions</x:v>
      </x:c>
      <x:c r="C15" s="51" t="str">
        <x:v>Philter of Love</x:v>
      </x:c>
      <x:c r="D15" s="51" t="str">
        <x:v>Uncommon</x:v>
      </x:c>
      <x:c r="E15" s="51" t="n">
        <x:v>22</x:v>
      </x:c>
      <x:c r="F15" s="51" t="str">
        <x:v>Flower</x:v>
      </x:c>
      <x:c r="G15" s="51" t="str">
        <x:v>Flower</x:v>
      </x:c>
      <x:c r="H15" s="51" t="str">
        <x:v>Sap / Resin</x:v>
      </x:c>
      <x:c r="I15" s="51" t="str"/>
      <x:c r="J15" s="51" t="str">
        <x:v>1 hour</x:v>
      </x:c>
      <x:c r="K15" s="51" t="str">
        <x:v>The drinker is charmed by the first creature they see shortly after drinking, by DM ruling.</x:v>
      </x:c>
      <x:c r="L15" s="51" t="str"/>
      <x:c r="M15" s="51" t="str"/>
      <x:c r="N15" s="39" t="str">
        <x:v>Bonus Action to use or apply</x:v>
      </x:c>
    </x:row>
    <x:row r="16">
      <x:c r="A16" s="38" t="str">
        <x:v>Potions</x:v>
      </x:c>
      <x:c r="B16" s="51" t="str">
        <x:v>General Potions</x:v>
      </x:c>
      <x:c r="C16" s="51" t="str">
        <x:v>Potion of Animal Friendship</x:v>
      </x:c>
      <x:c r="D16" s="51" t="str">
        <x:v>Uncommon</x:v>
      </x:c>
      <x:c r="E16" s="51" t="n">
        <x:v>22</x:v>
      </x:c>
      <x:c r="F16" s="51" t="str">
        <x:v>Flower</x:v>
      </x:c>
      <x:c r="G16" s="51" t="str">
        <x:v>Leaf / Vine</x:v>
      </x:c>
      <x:c r="H16" s="51" t="str">
        <x:v>Root</x:v>
      </x:c>
      <x:c r="I16" s="51" t="str"/>
      <x:c r="J16" s="51" t="str">
        <x:v>1 hour</x:v>
      </x:c>
      <x:c r="K16" s="51" t="str">
        <x:v>The drinker can cast Animal Friendship, with the save DC set by the potion or DM.</x:v>
      </x:c>
      <x:c r="L16" s="51" t="str"/>
      <x:c r="M16" s="51" t="str"/>
      <x:c r="N16" s="39" t="str">
        <x:v>Bonus Action to use or apply</x:v>
      </x:c>
    </x:row>
    <x:row r="17">
      <x:c r="A17" s="38" t="str">
        <x:v>Potions</x:v>
      </x:c>
      <x:c r="B17" s="51" t="str">
        <x:v>General Potions</x:v>
      </x:c>
      <x:c r="C17" s="51" t="str">
        <x:v>Potion of Clairvoyance</x:v>
      </x:c>
      <x:c r="D17" s="51" t="str">
        <x:v>Rare</x:v>
      </x:c>
      <x:c r="E17" s="51" t="n">
        <x:v>28</x:v>
      </x:c>
      <x:c r="F17" s="51" t="str">
        <x:v>Flower</x:v>
      </x:c>
      <x:c r="G17" s="51" t="str">
        <x:v>Mineral / Salt / Ash</x:v>
      </x:c>
      <x:c r="H17" s="51" t="str">
        <x:v>Moss / Lichen</x:v>
      </x:c>
      <x:c r="I17" s="51" t="str"/>
      <x:c r="J17" s="51" t="str">
        <x:v>10 minutes</x:v>
      </x:c>
      <x:c r="K17" s="51" t="str">
        <x:v>The drinker gains the effect of Clairvoyance.</x:v>
      </x:c>
      <x:c r="L17" s="51" t="str"/>
      <x:c r="M17" s="51" t="str"/>
      <x:c r="N17" s="39" t="str">
        <x:v>Bonus Action to use or apply</x:v>
      </x:c>
    </x:row>
    <x:row r="18">
      <x:c r="A18" s="38" t="str">
        <x:v>Potions</x:v>
      </x:c>
      <x:c r="B18" s="51" t="str">
        <x:v>General Potions</x:v>
      </x:c>
      <x:c r="C18" s="51" t="str">
        <x:v>Potion of Climbing</x:v>
      </x:c>
      <x:c r="D18" s="51" t="str">
        <x:v>Common</x:v>
      </x:c>
      <x:c r="E18" s="51" t="n">
        <x:v>16</x:v>
      </x:c>
      <x:c r="F18" s="51" t="str">
        <x:v>Leaf / Vine</x:v>
      </x:c>
      <x:c r="G18" s="51" t="str">
        <x:v>Moss / Lichen</x:v>
      </x:c>
      <x:c r="H18" s="51" t="str">
        <x:v>Root</x:v>
      </x:c>
      <x:c r="I18" s="51" t="str"/>
      <x:c r="J18" s="51" t="str">
        <x:v>1 hour</x:v>
      </x:c>
      <x:c r="K18" s="51" t="str">
        <x:v>The drinker gains a climbing speed equal to walking speed and Advantage on Strength (Athletics) checks made to climb.</x:v>
      </x:c>
      <x:c r="L18" s="51" t="str"/>
      <x:c r="M18" s="51" t="str"/>
      <x:c r="N18" s="39" t="str">
        <x:v>Bonus Action to use or apply</x:v>
      </x:c>
    </x:row>
    <x:row r="19">
      <x:c r="A19" s="38" t="str">
        <x:v>Potions</x:v>
      </x:c>
      <x:c r="B19" s="51" t="str">
        <x:v>General Potions</x:v>
      </x:c>
      <x:c r="C19" s="51" t="str">
        <x:v>Potion of Comprehension</x:v>
      </x:c>
      <x:c r="D19" s="51" t="str">
        <x:v>Common</x:v>
      </x:c>
      <x:c r="E19" s="51" t="n">
        <x:v>16</x:v>
      </x:c>
      <x:c r="F19" s="51" t="str">
        <x:v>Flower</x:v>
      </x:c>
      <x:c r="G19" s="51" t="str">
        <x:v>Mineral / Salt / Ash</x:v>
      </x:c>
      <x:c r="H19" s="51" t="str">
        <x:v>Root</x:v>
      </x:c>
      <x:c r="I19" s="51" t="str"/>
      <x:c r="J19" s="51" t="str">
        <x:v>1 hour</x:v>
      </x:c>
      <x:c r="K19" s="51" t="str">
        <x:v>The drinker understands the literal meaning of spoken and written languages they perceive.</x:v>
      </x:c>
      <x:c r="L19" s="51" t="str"/>
      <x:c r="M19" s="51" t="str"/>
      <x:c r="N19" s="39" t="str">
        <x:v>Bonus Action to use or apply</x:v>
      </x:c>
    </x:row>
    <x:row r="20">
      <x:c r="A20" s="38" t="str">
        <x:v>Potions</x:v>
      </x:c>
      <x:c r="B20" s="51" t="str">
        <x:v>General Potions</x:v>
      </x:c>
      <x:c r="C20" s="51" t="str">
        <x:v>Potion of Diminution</x:v>
      </x:c>
      <x:c r="D20" s="51" t="str">
        <x:v>Rare</x:v>
      </x:c>
      <x:c r="E20" s="51" t="n">
        <x:v>28</x:v>
      </x:c>
      <x:c r="F20" s="51" t="str">
        <x:v>Mushroom</x:v>
      </x:c>
      <x:c r="G20" s="51" t="str">
        <x:v>Root</x:v>
      </x:c>
      <x:c r="H20" s="51" t="str">
        <x:v>Flower</x:v>
      </x:c>
      <x:c r="I20" s="51" t="str"/>
      <x:c r="J20" s="51" t="str">
        <x:v>1d4 hours</x:v>
      </x:c>
      <x:c r="K20" s="51" t="str">
        <x:v>For 1d4 hours, the drinker's size decreases by one category. The drinker has Disadvantage on Strength checks and Strength saving throws. Once on each of the drinker's turns, a hit with a weapon or Unarmed Strike deals 1d4 less damage, to a minimum of 1 damage.</x:v>
      </x:c>
      <x:c r="L20" s="51" t="str"/>
      <x:c r="M20" s="51" t="str"/>
      <x:c r="N20" s="39" t="str">
        <x:v>Bonus Action to use or apply</x:v>
      </x:c>
    </x:row>
    <x:row r="21">
      <x:c r="A21" s="38" t="str">
        <x:v>Potions</x:v>
      </x:c>
      <x:c r="B21" s="51" t="str">
        <x:v>General Potions</x:v>
      </x:c>
      <x:c r="C21" s="51" t="str">
        <x:v>Potion of Dragon's Majesty</x:v>
      </x:c>
      <x:c r="D21" s="51" t="str">
        <x:v>Legendary</x:v>
      </x:c>
      <x:c r="E21" s="51" t="n">
        <x:v>40</x:v>
      </x:c>
      <x:c r="F21" s="51" t="str">
        <x:v>Mushroom</x:v>
      </x:c>
      <x:c r="G21" s="51" t="str">
        <x:v>Thorn / Bark / Wood</x:v>
      </x:c>
      <x:c r="H21" s="51" t="str">
        <x:v>Mineral / Salt / Ash</x:v>
      </x:c>
      <x:c r="I21" s="51" t="str"/>
      <x:c r="J21" s="51" t="str">
        <x:v>1 hour</x:v>
      </x:c>
      <x:c r="K21" s="51" t="str">
        <x:v>The drinker transforms or gains draconic majesty by DM ruling, often including flight, breath, or imposing presence.</x:v>
      </x:c>
      <x:c r="L21" s="51" t="str"/>
      <x:c r="M21" s="51" t="str"/>
      <x:c r="N21" s="39" t="str">
        <x:v>Bonus Action to use or apply</x:v>
      </x:c>
    </x:row>
    <x:row r="22">
      <x:c r="A22" s="38" t="str">
        <x:v>Potions</x:v>
      </x:c>
      <x:c r="B22" s="51" t="str">
        <x:v>General Potions</x:v>
      </x:c>
      <x:c r="C22" s="51" t="str">
        <x:v>Potion of Flying</x:v>
      </x:c>
      <x:c r="D22" s="51" t="str">
        <x:v>Very Rare</x:v>
      </x:c>
      <x:c r="E22" s="51" t="n">
        <x:v>34</x:v>
      </x:c>
      <x:c r="F22" s="51" t="str">
        <x:v>Leaf / Vine</x:v>
      </x:c>
      <x:c r="G22" s="51" t="str">
        <x:v>Flower</x:v>
      </x:c>
      <x:c r="H22" s="51" t="str">
        <x:v>Sap / Resin</x:v>
      </x:c>
      <x:c r="I22" s="51" t="str"/>
      <x:c r="J22" s="51" t="str">
        <x:v>1 hour</x:v>
      </x:c>
      <x:c r="K22" s="51" t="str">
        <x:v>The drinker gains a flying speed equal to walking speed and can hover by DM ruling.</x:v>
      </x:c>
      <x:c r="L22" s="51" t="str"/>
      <x:c r="M22" s="51" t="str"/>
      <x:c r="N22" s="39" t="str">
        <x:v>Bonus Action to use or apply</x:v>
      </x:c>
    </x:row>
    <x:row r="23">
      <x:c r="A23" s="38" t="str">
        <x:v>Potions</x:v>
      </x:c>
      <x:c r="B23" s="51" t="str">
        <x:v>General Potions</x:v>
      </x:c>
      <x:c r="C23" s="51" t="str">
        <x:v>Potion of Gaseous Form</x:v>
      </x:c>
      <x:c r="D23" s="51" t="str">
        <x:v>Rare</x:v>
      </x:c>
      <x:c r="E23" s="51" t="n">
        <x:v>28</x:v>
      </x:c>
      <x:c r="F23" s="51" t="str">
        <x:v>Leaf / Vine</x:v>
      </x:c>
      <x:c r="G23" s="51" t="str">
        <x:v>Flower</x:v>
      </x:c>
      <x:c r="H23" s="51" t="str">
        <x:v>Mineral / Salt / Ash</x:v>
      </x:c>
      <x:c r="I23" s="51" t="str"/>
      <x:c r="J23" s="51" t="str">
        <x:v>1 hour</x:v>
      </x:c>
      <x:c r="K23" s="51" t="str">
        <x:v>The drinker gains the effect of Gaseous Form.</x:v>
      </x:c>
      <x:c r="L23" s="51" t="str"/>
      <x:c r="M23" s="51" t="str"/>
      <x:c r="N23" s="39" t="str">
        <x:v>Bonus Action to use or apply</x:v>
      </x:c>
    </x:row>
    <x:row r="24">
      <x:c r="A24" s="38" t="str">
        <x:v>Potions</x:v>
      </x:c>
      <x:c r="B24" s="51" t="str">
        <x:v>General Potions</x:v>
      </x:c>
      <x:c r="C24" s="51" t="str">
        <x:v>Potion of Giant Size</x:v>
      </x:c>
      <x:c r="D24" s="51" t="str">
        <x:v>Legendary</x:v>
      </x:c>
      <x:c r="E24" s="51" t="n">
        <x:v>40</x:v>
      </x:c>
      <x:c r="F24" s="51" t="str">
        <x:v>Root</x:v>
      </x:c>
      <x:c r="G24" s="51" t="str">
        <x:v>Thorn / Bark / Wood</x:v>
      </x:c>
      <x:c r="H24" s="51" t="str">
        <x:v>Mushroom</x:v>
      </x:c>
      <x:c r="I24" s="51" t="str"/>
      <x:c r="J24" s="51" t="str">
        <x:v>24 hours</x:v>
      </x:c>
      <x:c r="K24" s="51" t="str">
        <x:v>The drinker becomes Huge, gains increased reach, and deals extra weapon damage by DM ruling.</x:v>
      </x:c>
      <x:c r="L24" s="51" t="str"/>
      <x:c r="M24" s="51" t="str"/>
      <x:c r="N24" s="39" t="str">
        <x:v>Bonus Action to use or apply</x:v>
      </x:c>
    </x:row>
    <x:row r="25">
      <x:c r="A25" s="38" t="str">
        <x:v>Potions</x:v>
      </x:c>
      <x:c r="B25" s="51" t="str">
        <x:v>General Potions</x:v>
      </x:c>
      <x:c r="C25" s="51" t="str">
        <x:v>Potion of Growth</x:v>
      </x:c>
      <x:c r="D25" s="51" t="str">
        <x:v>Uncommon</x:v>
      </x:c>
      <x:c r="E25" s="51" t="n">
        <x:v>22</x:v>
      </x:c>
      <x:c r="F25" s="51" t="str">
        <x:v>Root</x:v>
      </x:c>
      <x:c r="G25" s="51" t="str">
        <x:v>Thorn / Bark / Wood</x:v>
      </x:c>
      <x:c r="H25" s="51" t="str">
        <x:v>Mushroom</x:v>
      </x:c>
      <x:c r="I25" s="51" t="str"/>
      <x:c r="J25" s="51" t="str">
        <x:v>1d4 hours</x:v>
      </x:c>
      <x:c r="K25" s="51" t="str">
        <x:v>For 1d4 hours, the drinker's size increases by one category. The drinker has Advantage on Strength checks and Strength saving throws. Once on each of the drinker's turns, a hit with a weapon or Unarmed Strike deals an extra 1d4 damage.</x:v>
      </x:c>
      <x:c r="L25" s="51" t="str"/>
      <x:c r="M25" s="51" t="str"/>
      <x:c r="N25" s="39" t="str">
        <x:v>Bonus Action to use or apply</x:v>
      </x:c>
    </x:row>
    <x:row r="26">
      <x:c r="A26" s="38" t="str">
        <x:v>Potions</x:v>
      </x:c>
      <x:c r="B26" s="51" t="str">
        <x:v>General Potions</x:v>
      </x:c>
      <x:c r="C26" s="51" t="str">
        <x:v>Potion of Healing</x:v>
      </x:c>
      <x:c r="D26" s="51" t="str">
        <x:v>Common</x:v>
      </x:c>
      <x:c r="E26" s="51" t="n">
        <x:v>16</x:v>
      </x:c>
      <x:c r="F26" s="51" t="str">
        <x:v>Mushroom</x:v>
      </x:c>
      <x:c r="G26" s="51" t="str">
        <x:v>Mushroom</x:v>
      </x:c>
      <x:c r="H26" s="51" t="str">
        <x:v>Root</x:v>
      </x:c>
      <x:c r="I26" s="51" t="str"/>
      <x:c r="J26" s="51" t="str">
        <x:v>Instant</x:v>
      </x:c>
      <x:c r="K26" s="51" t="str">
        <x:v>The drinker regains 2d4 + 2 HP. Ingredient bonuses scale the dice and attached flat modifier.</x:v>
      </x:c>
      <x:c r="L26" s="51" t="str"/>
      <x:c r="M26" s="51" t="str"/>
      <x:c r="N26" s="39" t="str">
        <x:v>Bonus Action to use or apply</x:v>
      </x:c>
    </x:row>
    <x:row r="27">
      <x:c r="A27" s="38" t="str">
        <x:v>Potions</x:v>
      </x:c>
      <x:c r="B27" s="51" t="str">
        <x:v>General Potions</x:v>
      </x:c>
      <x:c r="C27" s="51" t="str">
        <x:v>Potion of Heroism</x:v>
      </x:c>
      <x:c r="D27" s="51" t="str">
        <x:v>Rare</x:v>
      </x:c>
      <x:c r="E27" s="51" t="n">
        <x:v>28</x:v>
      </x:c>
      <x:c r="F27" s="51" t="str">
        <x:v>Root</x:v>
      </x:c>
      <x:c r="G27" s="51" t="str">
        <x:v>Flower</x:v>
      </x:c>
      <x:c r="H27" s="51" t="str">
        <x:v>Thorn / Bark / Wood</x:v>
      </x:c>
      <x:c r="I27" s="51" t="str">
        <x:v>Radiant</x:v>
      </x:c>
      <x:c r="J27" s="51" t="str">
        <x:v>1 hour</x:v>
      </x:c>
      <x:c r="K27" s="51" t="str">
        <x:v>The drinker gains 1d10 temporary hit points and is affected by Bless for 1 hour.</x:v>
      </x:c>
      <x:c r="L27" s="51" t="str"/>
      <x:c r="M27" s="51" t="str"/>
      <x:c r="N27" s="39" t="str">
        <x:v>Bonus Action to use or apply</x:v>
      </x:c>
    </x:row>
    <x:row r="28">
      <x:c r="A28" s="38" t="str">
        <x:v>Potions</x:v>
      </x:c>
      <x:c r="B28" s="51" t="str">
        <x:v>General Potions</x:v>
      </x:c>
      <x:c r="C28" s="51" t="str">
        <x:v>Potion of Invisibility</x:v>
      </x:c>
      <x:c r="D28" s="51" t="str">
        <x:v>Very Rare</x:v>
      </x:c>
      <x:c r="E28" s="51" t="n">
        <x:v>34</x:v>
      </x:c>
      <x:c r="F28" s="51" t="str">
        <x:v>Moss / Lichen</x:v>
      </x:c>
      <x:c r="G28" s="51" t="str">
        <x:v>Flower</x:v>
      </x:c>
      <x:c r="H28" s="51" t="str">
        <x:v>Leaf / Vine</x:v>
      </x:c>
      <x:c r="I28" s="51" t="str"/>
      <x:c r="J28" s="51" t="str">
        <x:v>1 hour</x:v>
      </x:c>
      <x:c r="K28" s="51" t="str">
        <x:v>The drinker becomes invisible until they attack, cast a spell, or the duration ends.</x:v>
      </x:c>
      <x:c r="L28" s="51" t="str"/>
      <x:c r="M28" s="51" t="str"/>
      <x:c r="N28" s="39" t="str">
        <x:v>Bonus Action to use or apply</x:v>
      </x:c>
    </x:row>
    <x:row r="29">
      <x:c r="A29" s="38" t="str">
        <x:v>Potions</x:v>
      </x:c>
      <x:c r="B29" s="51" t="str">
        <x:v>General Potions</x:v>
      </x:c>
      <x:c r="C29" s="51" t="str">
        <x:v>Potion of Invulnerability</x:v>
      </x:c>
      <x:c r="D29" s="51" t="str">
        <x:v>Legendary</x:v>
      </x:c>
      <x:c r="E29" s="51" t="n">
        <x:v>40</x:v>
      </x:c>
      <x:c r="F29" s="51" t="str">
        <x:v>Thorn / Bark / Wood</x:v>
      </x:c>
      <x:c r="G29" s="51" t="str">
        <x:v>Root</x:v>
      </x:c>
      <x:c r="H29" s="51" t="str">
        <x:v>Mineral / Salt / Ash</x:v>
      </x:c>
      <x:c r="I29" s="51" t="str"/>
      <x:c r="J29" s="51" t="str">
        <x:v>1 minute</x:v>
      </x:c>
      <x:c r="K29" s="51" t="str">
        <x:v>The drinker gains resistance to all damage.</x:v>
      </x:c>
      <x:c r="L29" s="51" t="str"/>
      <x:c r="M29" s="51" t="str"/>
      <x:c r="N29" s="39" t="str">
        <x:v>Bonus Action to use or apply</x:v>
      </x:c>
    </x:row>
    <x:row r="30">
      <x:c r="A30" s="38" t="str">
        <x:v>Potions</x:v>
      </x:c>
      <x:c r="B30" s="51" t="str">
        <x:v>General Potions</x:v>
      </x:c>
      <x:c r="C30" s="51" t="str">
        <x:v>Potion of Mind Reading</x:v>
      </x:c>
      <x:c r="D30" s="51" t="str">
        <x:v>Rare</x:v>
      </x:c>
      <x:c r="E30" s="51" t="n">
        <x:v>28</x:v>
      </x:c>
      <x:c r="F30" s="51" t="str">
        <x:v>Flower</x:v>
      </x:c>
      <x:c r="G30" s="51" t="str">
        <x:v>Mineral / Salt / Ash</x:v>
      </x:c>
      <x:c r="H30" s="51" t="str">
        <x:v>Moss / Lichen</x:v>
      </x:c>
      <x:c r="I30" s="51" t="str"/>
      <x:c r="J30" s="51" t="str">
        <x:v>1 hour</x:v>
      </x:c>
      <x:c r="K30" s="51" t="str">
        <x:v>The drinker gains the effect of Detect Thoughts.</x:v>
      </x:c>
      <x:c r="L30" s="51" t="str"/>
      <x:c r="M30" s="51" t="str"/>
      <x:c r="N30" s="39" t="str">
        <x:v>Bonus Action to use or apply</x:v>
      </x:c>
    </x:row>
    <x:row r="31">
      <x:c r="A31" s="38" t="str">
        <x:v>Potions</x:v>
      </x:c>
      <x:c r="B31" s="51" t="str">
        <x:v>General Potions</x:v>
      </x:c>
      <x:c r="C31" s="51" t="str">
        <x:v>Potion of Regeneration</x:v>
      </x:c>
      <x:c r="D31" s="51" t="str">
        <x:v>Rare</x:v>
      </x:c>
      <x:c r="E31" s="51" t="n">
        <x:v>28</x:v>
      </x:c>
      <x:c r="F31" s="51" t="str">
        <x:v>Mushroom</x:v>
      </x:c>
      <x:c r="G31" s="51" t="str">
        <x:v>Sap / Resin</x:v>
      </x:c>
      <x:c r="H31" s="51" t="str">
        <x:v>Root</x:v>
      </x:c>
      <x:c r="I31" s="51" t="str"/>
      <x:c r="J31" s="51" t="str">
        <x:v>1 minute</x:v>
      </x:c>
      <x:c r="K31" s="51" t="str">
        <x:v>At the start of each of the drinker's turns, the drinker regains 1d4 HP for the duration.</x:v>
      </x:c>
      <x:c r="L31" s="51" t="str"/>
      <x:c r="M31" s="51" t="str"/>
      <x:c r="N31" s="39" t="str">
        <x:v>Bonus Action to use or apply</x:v>
      </x:c>
    </x:row>
    <x:row r="32">
      <x:c r="A32" s="38" t="str">
        <x:v>Potions</x:v>
      </x:c>
      <x:c r="B32" s="51" t="str">
        <x:v>General Potions</x:v>
      </x:c>
      <x:c r="C32" s="51" t="str">
        <x:v>Potion of Speed</x:v>
      </x:c>
      <x:c r="D32" s="51" t="str">
        <x:v>Very Rare</x:v>
      </x:c>
      <x:c r="E32" s="51" t="n">
        <x:v>34</x:v>
      </x:c>
      <x:c r="F32" s="51" t="str">
        <x:v>Leaf / Vine</x:v>
      </x:c>
      <x:c r="G32" s="51" t="str">
        <x:v>Flower</x:v>
      </x:c>
      <x:c r="H32" s="51" t="str">
        <x:v>Sap / Resin</x:v>
      </x:c>
      <x:c r="I32" s="51" t="str"/>
      <x:c r="J32" s="51" t="str">
        <x:v>1 minute</x:v>
      </x:c>
      <x:c r="K32" s="51" t="str">
        <x:v>The drinker gains the effect of Haste.</x:v>
      </x:c>
      <x:c r="L32" s="51" t="str"/>
      <x:c r="M32" s="51" t="str"/>
      <x:c r="N32" s="39" t="str">
        <x:v>Bonus Action to use or apply</x:v>
      </x:c>
    </x:row>
    <x:row r="33">
      <x:c r="A33" s="38" t="str">
        <x:v>Potions</x:v>
      </x:c>
      <x:c r="B33" s="51" t="str">
        <x:v>General Potions</x:v>
      </x:c>
      <x:c r="C33" s="51" t="str">
        <x:v>Potion of Storm Giant Strength</x:v>
      </x:c>
      <x:c r="D33" s="51" t="str">
        <x:v>Legendary</x:v>
      </x:c>
      <x:c r="E33" s="51" t="n">
        <x:v>40</x:v>
      </x:c>
      <x:c r="F33" s="51" t="str">
        <x:v>Root</x:v>
      </x:c>
      <x:c r="G33" s="51" t="str">
        <x:v>Thorn / Bark / Wood</x:v>
      </x:c>
      <x:c r="H33" s="51" t="str">
        <x:v>Mineral / Salt / Ash</x:v>
      </x:c>
      <x:c r="I33" s="51" t="str"/>
      <x:c r="J33" s="51" t="str">
        <x:v>1 hour</x:v>
      </x:c>
      <x:c r="K33" s="51" t="str">
        <x:v>The drinker's Strength becomes 29 unless their Strength is already equal or higher.</x:v>
      </x:c>
      <x:c r="L33" s="51" t="str"/>
      <x:c r="M33" s="51" t="str"/>
      <x:c r="N33" s="39" t="str">
        <x:v>Bonus Action to use or apply</x:v>
      </x:c>
    </x:row>
    <x:row r="34">
      <x:c r="A34" s="38" t="str">
        <x:v>Potions</x:v>
      </x:c>
      <x:c r="B34" s="51" t="str">
        <x:v>General Potions</x:v>
      </x:c>
      <x:c r="C34" s="51" t="str">
        <x:v>Potion of Watchful Rest</x:v>
      </x:c>
      <x:c r="D34" s="51" t="str">
        <x:v>Common</x:v>
      </x:c>
      <x:c r="E34" s="51" t="n">
        <x:v>16</x:v>
      </x:c>
      <x:c r="F34" s="51" t="str">
        <x:v>Flower</x:v>
      </x:c>
      <x:c r="G34" s="51" t="str">
        <x:v>Moss / Lichen</x:v>
      </x:c>
      <x:c r="H34" s="51" t="str">
        <x:v>Root</x:v>
      </x:c>
      <x:c r="I34" s="51" t="str"/>
      <x:c r="J34" s="51" t="str">
        <x:v>8 hours</x:v>
      </x:c>
      <x:c r="K34" s="51" t="str">
        <x:v>The drinker remains alert during rest and can avoid the worst effects of magical sleep by DM ruling.</x:v>
      </x:c>
      <x:c r="L34" s="51" t="str"/>
      <x:c r="M34" s="51" t="str"/>
      <x:c r="N34" s="39" t="str">
        <x:v>Bonus Action to use or apply</x:v>
      </x:c>
    </x:row>
    <x:row r="35">
      <x:c r="A35" s="38" t="str">
        <x:v>Potions</x:v>
      </x:c>
      <x:c r="B35" s="51" t="str">
        <x:v>General Potions</x:v>
      </x:c>
      <x:c r="C35" s="51" t="str">
        <x:v>Potion of Water Breathing</x:v>
      </x:c>
      <x:c r="D35" s="51" t="str">
        <x:v>Uncommon</x:v>
      </x:c>
      <x:c r="E35" s="51" t="n">
        <x:v>22</x:v>
      </x:c>
      <x:c r="F35" s="51" t="str">
        <x:v>Flower</x:v>
      </x:c>
      <x:c r="G35" s="51" t="str">
        <x:v>Sap / Resin</x:v>
      </x:c>
      <x:c r="H35" s="51" t="str">
        <x:v>Mineral / Salt / Ash</x:v>
      </x:c>
      <x:c r="I35" s="51" t="str"/>
      <x:c r="J35" s="51" t="str">
        <x:v>1 hour</x:v>
      </x:c>
      <x:c r="K35" s="51" t="str">
        <x:v>The drinker can breathe underwater.</x:v>
      </x:c>
      <x:c r="L35" s="51" t="str"/>
      <x:c r="M35" s="51" t="str"/>
      <x:c r="N35" s="39" t="str">
        <x:v>Bonus Action to use or apply</x:v>
      </x:c>
    </x:row>
    <x:row r="36">
      <x:c r="A36" s="38" t="str">
        <x:v>Potions</x:v>
      </x:c>
      <x:c r="B36" s="51" t="str">
        <x:v>General Potions</x:v>
      </x:c>
      <x:c r="C36" s="51" t="str">
        <x:v>Quickstep Tonic</x:v>
      </x:c>
      <x:c r="D36" s="51" t="str">
        <x:v>Uncommon</x:v>
      </x:c>
      <x:c r="E36" s="51" t="n">
        <x:v>22</x:v>
      </x:c>
      <x:c r="F36" s="51" t="str">
        <x:v>Leaf / Vine</x:v>
      </x:c>
      <x:c r="G36" s="51" t="str">
        <x:v>Flower</x:v>
      </x:c>
      <x:c r="H36" s="51" t="str">
        <x:v>Sap / Resin</x:v>
      </x:c>
      <x:c r="I36" s="51" t="str"/>
      <x:c r="J36" s="51" t="str">
        <x:v>1 minute</x:v>
      </x:c>
      <x:c r="K36" s="51" t="str">
        <x:v>The drinker gains a short burst of speed; suggested effect is +10 ft. speed and Advantage on initiative checks.</x:v>
      </x:c>
      <x:c r="L36" s="51" t="str"/>
      <x:c r="M36" s="51" t="str"/>
      <x:c r="N36" s="39" t="str">
        <x:v>Bonus Action to use or apply</x:v>
      </x:c>
    </x:row>
    <x:row r="37">
      <x:c r="A37" s="38" t="str">
        <x:v>Poisons</x:v>
      </x:c>
      <x:c r="B37" s="51" t="str">
        <x:v>Ability Poisons</x:v>
      </x:c>
      <x:c r="C37" s="51" t="str">
        <x:v>Poison of Charisma Weakening</x:v>
      </x:c>
      <x:c r="D37" s="51" t="str">
        <x:v>Rare</x:v>
      </x:c>
      <x:c r="E37" s="51" t="n">
        <x:v>28</x:v>
      </x:c>
      <x:c r="F37" s="51" t="str">
        <x:v>Venom / Poison Plant</x:v>
      </x:c>
      <x:c r="G37" s="51" t="str">
        <x:v>Flower</x:v>
      </x:c>
      <x:c r="H37" s="51" t="str">
        <x:v>Sap / Resin</x:v>
      </x:c>
      <x:c r="I37" s="51" t="str"/>
      <x:c r="J37" s="51" t="str">
        <x:v>1 hour</x:v>
      </x:c>
      <x:c r="K37" s="51" t="str">
        <x:v>The target chooses Constitution or Charisma before rolling. On a failed save, Charisma is reduced by 1d6 temporarily.</x:v>
      </x:c>
      <x:c r="L37" s="51" t="str"/>
      <x:c r="M37" s="51" t="str"/>
      <x:c r="N37" s="39" t="str">
        <x:v>Bonus Action to use or apply</x:v>
      </x:c>
    </x:row>
    <x:row r="38">
      <x:c r="A38" s="38" t="str">
        <x:v>Poisons</x:v>
      </x:c>
      <x:c r="B38" s="51" t="str">
        <x:v>Ability Poisons</x:v>
      </x:c>
      <x:c r="C38" s="51" t="str">
        <x:v>Poison of Constitution Weakening</x:v>
      </x:c>
      <x:c r="D38" s="51" t="str">
        <x:v>Rare</x:v>
      </x:c>
      <x:c r="E38" s="51" t="n">
        <x:v>28</x:v>
      </x:c>
      <x:c r="F38" s="51" t="str">
        <x:v>Venom / Poison Plant</x:v>
      </x:c>
      <x:c r="G38" s="51" t="str">
        <x:v>Mushroom</x:v>
      </x:c>
      <x:c r="H38" s="51" t="str">
        <x:v>Root</x:v>
      </x:c>
      <x:c r="I38" s="51" t="str"/>
      <x:c r="J38" s="51" t="str">
        <x:v>1 hour</x:v>
      </x:c>
      <x:c r="K38" s="51" t="str">
        <x:v>The target chooses Constitution or Constitution before rolling. On a failed save, Constitution is reduced by 1d6 temporarily.</x:v>
      </x:c>
      <x:c r="L38" s="51" t="str"/>
      <x:c r="M38" s="51" t="str"/>
      <x:c r="N38" s="39" t="str">
        <x:v>Bonus Action to use or apply</x:v>
      </x:c>
    </x:row>
    <x:row r="39">
      <x:c r="A39" s="38" t="str">
        <x:v>Poisons</x:v>
      </x:c>
      <x:c r="B39" s="51" t="str">
        <x:v>Ability Poisons</x:v>
      </x:c>
      <x:c r="C39" s="51" t="str">
        <x:v>Poison of Dexterity Weakening</x:v>
      </x:c>
      <x:c r="D39" s="51" t="str">
        <x:v>Rare</x:v>
      </x:c>
      <x:c r="E39" s="51" t="n">
        <x:v>28</x:v>
      </x:c>
      <x:c r="F39" s="51" t="str">
        <x:v>Venom / Poison Plant</x:v>
      </x:c>
      <x:c r="G39" s="51" t="str">
        <x:v>Leaf / Vine</x:v>
      </x:c>
      <x:c r="H39" s="51" t="str">
        <x:v>Flower</x:v>
      </x:c>
      <x:c r="I39" s="51" t="str"/>
      <x:c r="J39" s="51" t="str">
        <x:v>1 hour</x:v>
      </x:c>
      <x:c r="K39" s="51" t="str">
        <x:v>The target chooses Constitution or Dexterity before rolling. On a failed save, Dexterity is reduced by 1d6 temporarily.</x:v>
      </x:c>
      <x:c r="L39" s="51" t="str"/>
      <x:c r="M39" s="51" t="str"/>
      <x:c r="N39" s="39" t="str">
        <x:v>Bonus Action to use or apply</x:v>
      </x:c>
    </x:row>
    <x:row r="40">
      <x:c r="A40" s="38" t="str">
        <x:v>Poisons</x:v>
      </x:c>
      <x:c r="B40" s="51" t="str">
        <x:v>Ability Poisons</x:v>
      </x:c>
      <x:c r="C40" s="51" t="str">
        <x:v>Poison of Intelligence Weakening</x:v>
      </x:c>
      <x:c r="D40" s="51" t="str">
        <x:v>Rare</x:v>
      </x:c>
      <x:c r="E40" s="51" t="n">
        <x:v>28</x:v>
      </x:c>
      <x:c r="F40" s="51" t="str">
        <x:v>Venom / Poison Plant</x:v>
      </x:c>
      <x:c r="G40" s="51" t="str">
        <x:v>Flower</x:v>
      </x:c>
      <x:c r="H40" s="51" t="str">
        <x:v>Mineral / Salt / Ash</x:v>
      </x:c>
      <x:c r="I40" s="51" t="str"/>
      <x:c r="J40" s="51" t="str">
        <x:v>1 hour</x:v>
      </x:c>
      <x:c r="K40" s="51" t="str">
        <x:v>The target chooses Constitution or Intelligence before rolling. On a failed save, Intelligence is reduced by 1d6 temporarily.</x:v>
      </x:c>
      <x:c r="L40" s="51" t="str"/>
      <x:c r="M40" s="51" t="str"/>
      <x:c r="N40" s="39" t="str">
        <x:v>Bonus Action to use or apply</x:v>
      </x:c>
    </x:row>
    <x:row r="41">
      <x:c r="A41" s="38" t="str">
        <x:v>Poisons</x:v>
      </x:c>
      <x:c r="B41" s="51" t="str">
        <x:v>Ability Poisons</x:v>
      </x:c>
      <x:c r="C41" s="51" t="str">
        <x:v>Poison of Strength Weakening</x:v>
      </x:c>
      <x:c r="D41" s="51" t="str">
        <x:v>Rare</x:v>
      </x:c>
      <x:c r="E41" s="51" t="n">
        <x:v>28</x:v>
      </x:c>
      <x:c r="F41" s="51" t="str">
        <x:v>Venom / Poison Plant</x:v>
      </x:c>
      <x:c r="G41" s="51" t="str">
        <x:v>Root</x:v>
      </x:c>
      <x:c r="H41" s="51" t="str">
        <x:v>Thorn / Bark / Wood</x:v>
      </x:c>
      <x:c r="I41" s="51" t="str"/>
      <x:c r="J41" s="51" t="str">
        <x:v>1 hour</x:v>
      </x:c>
      <x:c r="K41" s="51" t="str">
        <x:v>The target chooses Constitution or Strength before rolling. On a failed save, Strength is reduced by 1d6 temporarily.</x:v>
      </x:c>
      <x:c r="L41" s="51" t="str"/>
      <x:c r="M41" s="51" t="str"/>
      <x:c r="N41" s="39" t="str">
        <x:v>Bonus Action to use or apply</x:v>
      </x:c>
    </x:row>
    <x:row r="42">
      <x:c r="A42" s="38" t="str">
        <x:v>Poisons</x:v>
      </x:c>
      <x:c r="B42" s="51" t="str">
        <x:v>Ability Poisons</x:v>
      </x:c>
      <x:c r="C42" s="51" t="str">
        <x:v>Poison of Wisdom Weakening</x:v>
      </x:c>
      <x:c r="D42" s="51" t="str">
        <x:v>Rare</x:v>
      </x:c>
      <x:c r="E42" s="51" t="n">
        <x:v>28</x:v>
      </x:c>
      <x:c r="F42" s="51" t="str">
        <x:v>Venom / Poison Plant</x:v>
      </x:c>
      <x:c r="G42" s="51" t="str">
        <x:v>Moss / Lichen</x:v>
      </x:c>
      <x:c r="H42" s="51" t="str">
        <x:v>Flower</x:v>
      </x:c>
      <x:c r="I42" s="51" t="str"/>
      <x:c r="J42" s="51" t="str">
        <x:v>1 hour</x:v>
      </x:c>
      <x:c r="K42" s="51" t="str">
        <x:v>The target chooses Constitution or Wisdom before rolling. On a failed save, Wisdom is reduced by 1d6 temporarily.</x:v>
      </x:c>
      <x:c r="L42" s="51" t="str"/>
      <x:c r="M42" s="51" t="str"/>
      <x:c r="N42" s="39" t="str">
        <x:v>Bonus Action to use or apply</x:v>
      </x:c>
    </x:row>
    <x:row r="43">
      <x:c r="A43" s="38" t="str">
        <x:v>Poisons</x:v>
      </x:c>
      <x:c r="B43" s="51" t="str">
        <x:v>Special Poisons</x:v>
      </x:c>
      <x:c r="C43" s="51" t="str">
        <x:v>Basic Poison</x:v>
      </x:c>
      <x:c r="D43" s="51" t="str">
        <x:v>Common</x:v>
      </x:c>
      <x:c r="E43" s="51" t="n">
        <x:v>16</x:v>
      </x:c>
      <x:c r="F43" s="51" t="str">
        <x:v>Venom / Poison Plant</x:v>
      </x:c>
      <x:c r="G43" s="51" t="str">
        <x:v>Mushroom</x:v>
      </x:c>
      <x:c r="H43" s="51" t="str">
        <x:v>Root</x:v>
      </x:c>
      <x:c r="I43" s="51" t="str"/>
      <x:c r="J43" s="51" t="str">
        <x:v>1 minute after application</x:v>
      </x:c>
      <x:c r="K43" s="51" t="str">
        <x:v>A creature hit by the coated weapon or ammunition must make a Constitution save or take poison damage, per DM ruling.</x:v>
      </x:c>
      <x:c r="L43" s="51" t="str"/>
      <x:c r="M43" s="51" t="str"/>
      <x:c r="N43" s="39" t="str">
        <x:v>Bonus Action to use or apply</x:v>
      </x:c>
    </x:row>
    <x:row r="44">
      <x:c r="A44" s="38" t="str">
        <x:v>Poisons</x:v>
      </x:c>
      <x:c r="B44" s="51" t="str">
        <x:v>Special Poisons</x:v>
      </x:c>
      <x:c r="C44" s="51" t="str">
        <x:v>Mindfog Poison</x:v>
      </x:c>
      <x:c r="D44" s="51" t="str">
        <x:v>Rare</x:v>
      </x:c>
      <x:c r="E44" s="51" t="n">
        <x:v>28</x:v>
      </x:c>
      <x:c r="F44" s="51" t="str">
        <x:v>Venom / Poison Plant</x:v>
      </x:c>
      <x:c r="G44" s="51" t="str">
        <x:v>Flower</x:v>
      </x:c>
      <x:c r="H44" s="51" t="str">
        <x:v>Moss / Lichen</x:v>
      </x:c>
      <x:c r="I44" s="51" t="str"/>
      <x:c r="J44" s="51" t="str">
        <x:v>1 minute</x:v>
      </x:c>
      <x:c r="K44" s="51" t="str">
        <x:v>The target makes a Wisdom saving throw. On a failure, it is Confused for 1 minute and repeats the save at the end of each turn.</x:v>
      </x:c>
      <x:c r="L44" s="51" t="str"/>
      <x:c r="M44" s="51" t="str"/>
      <x:c r="N44" s="39" t="str">
        <x:v>Bonus Action to use or apply</x:v>
      </x:c>
    </x:row>
    <x:row r="45">
      <x:c r="A45" s="38" t="str">
        <x:v>Poisons</x:v>
      </x:c>
      <x:c r="B45" s="51" t="str">
        <x:v>Special Poisons</x:v>
      </x:c>
      <x:c r="C45" s="51" t="str">
        <x:v>Paralytic Venom</x:v>
      </x:c>
      <x:c r="D45" s="51" t="str">
        <x:v>Rare</x:v>
      </x:c>
      <x:c r="E45" s="51" t="n">
        <x:v>28</x:v>
      </x:c>
      <x:c r="F45" s="51" t="str">
        <x:v>Venom / Poison Plant</x:v>
      </x:c>
      <x:c r="G45" s="51" t="str">
        <x:v>Root</x:v>
      </x:c>
      <x:c r="H45" s="51" t="str">
        <x:v>Flower</x:v>
      </x:c>
      <x:c r="I45" s="51" t="str"/>
      <x:c r="J45" s="51" t="str">
        <x:v>1 minute</x:v>
      </x:c>
      <x:c r="K45" s="51" t="str">
        <x:v>The target makes a Constitution saving throw. On a failure, it is Paralyzed for 1 minute and repeats the save at the end of each turn.</x:v>
      </x:c>
      <x:c r="L45" s="51" t="str"/>
      <x:c r="M45" s="51" t="str"/>
      <x:c r="N45" s="39" t="str">
        <x:v>Bonus Action to use or apply</x:v>
      </x:c>
    </x:row>
    <x:row r="46">
      <x:c r="A46" s="38" t="str">
        <x:v>Poisons</x:v>
      </x:c>
      <x:c r="B46" s="51" t="str">
        <x:v>Special Poisons</x:v>
      </x:c>
      <x:c r="C46" s="51" t="str">
        <x:v>Purple Worm Poison</x:v>
      </x:c>
      <x:c r="D46" s="51" t="str">
        <x:v>Very Rare</x:v>
      </x:c>
      <x:c r="E46" s="51" t="n">
        <x:v>34</x:v>
      </x:c>
      <x:c r="F46" s="51" t="str">
        <x:v>Venom / Poison Plant</x:v>
      </x:c>
      <x:c r="G46" s="51" t="str">
        <x:v>Root</x:v>
      </x:c>
      <x:c r="H46" s="51" t="str">
        <x:v>Sap / Resin</x:v>
      </x:c>
      <x:c r="I46" s="51" t="str"/>
      <x:c r="J46" s="51" t="str">
        <x:v>Until delivered</x:v>
      </x:c>
      <x:c r="K46" s="51" t="str">
        <x:v>A creature exposed to the poison makes a Constitution save or takes heavy poison damage.</x:v>
      </x:c>
      <x:c r="L46" s="51" t="str"/>
      <x:c r="M46" s="51" t="str"/>
      <x:c r="N46" s="39" t="str">
        <x:v>Bonus Action to use or apply</x:v>
      </x:c>
    </x:row>
    <x:row r="47">
      <x:c r="A47" s="38" t="str">
        <x:v>Poisons</x:v>
      </x:c>
      <x:c r="B47" s="51" t="str">
        <x:v>Special Poisons</x:v>
      </x:c>
      <x:c r="C47" s="51" t="str">
        <x:v>Siren's Whisper Poison</x:v>
      </x:c>
      <x:c r="D47" s="51" t="str">
        <x:v>Rare</x:v>
      </x:c>
      <x:c r="E47" s="51" t="n">
        <x:v>28</x:v>
      </x:c>
      <x:c r="F47" s="51" t="str">
        <x:v>Venom / Poison Plant</x:v>
      </x:c>
      <x:c r="G47" s="51" t="str">
        <x:v>Flower</x:v>
      </x:c>
      <x:c r="H47" s="51" t="str">
        <x:v>Sap / Resin</x:v>
      </x:c>
      <x:c r="I47" s="51" t="str"/>
      <x:c r="J47" s="51" t="str">
        <x:v>1 minute</x:v>
      </x:c>
      <x:c r="K47" s="51" t="str">
        <x:v>The target makes a Wisdom saving throw. On a failure, it is Charmed for 1 minute. The effect ends early if the target is harmed by the charmer or the charmer's allies.</x:v>
      </x:c>
      <x:c r="L47" s="51" t="str"/>
      <x:c r="M47" s="51" t="str"/>
      <x:c r="N47" s="39" t="str">
        <x:v>Bonus Action to use or apply</x:v>
      </x:c>
    </x:row>
    <x:row r="48">
      <x:c r="A48" s="38" t="str">
        <x:v>Poisons</x:v>
      </x:c>
      <x:c r="B48" s="51" t="str">
        <x:v>Special Poisons</x:v>
      </x:c>
      <x:c r="C48" s="51" t="str">
        <x:v>Stoneblood Toxin</x:v>
      </x:c>
      <x:c r="D48" s="51" t="str">
        <x:v>Very Rare</x:v>
      </x:c>
      <x:c r="E48" s="51" t="n">
        <x:v>34</x:v>
      </x:c>
      <x:c r="F48" s="51" t="str">
        <x:v>Venom / Poison Plant</x:v>
      </x:c>
      <x:c r="G48" s="51" t="str">
        <x:v>Mineral / Salt / Ash</x:v>
      </x:c>
      <x:c r="H48" s="51" t="str">
        <x:v>Root</x:v>
      </x:c>
      <x:c r="I48" s="51" t="str"/>
      <x:c r="J48" s="51" t="str">
        <x:v>1 minute</x:v>
      </x:c>
      <x:c r="K48" s="51" t="str">
        <x:v>The target makes a Constitution saving throw. On a failure, it is Petrified for 1 minute and repeats the save at the end of each turn.</x:v>
      </x:c>
      <x:c r="L48" s="51" t="str"/>
      <x:c r="M48" s="51" t="str"/>
      <x:c r="N48" s="39" t="str">
        <x:v>Bonus Action to use or apply</x:v>
      </x:c>
    </x:row>
    <x:row r="49">
      <x:c r="A49" s="38" t="str">
        <x:v>Bombs</x:v>
      </x:c>
      <x:c r="B49" s="51" t="str">
        <x:v>Condition Bombs</x:v>
      </x:c>
      <x:c r="C49" s="51" t="str">
        <x:v>Bomb of Blindness</x:v>
      </x:c>
      <x:c r="D49" s="51" t="str">
        <x:v>Uncommon</x:v>
      </x:c>
      <x:c r="E49" s="51" t="n">
        <x:v>22</x:v>
      </x:c>
      <x:c r="F49" s="51" t="str">
        <x:v>Mineral / Salt / Ash</x:v>
      </x:c>
      <x:c r="G49" s="51" t="str">
        <x:v>Flower</x:v>
      </x:c>
      <x:c r="H49" s="51" t="str">
        <x:v>Sap / Resin</x:v>
      </x:c>
      <x:c r="I49" s="51" t="str">
        <x:v>Blindness, Sight</x:v>
      </x:c>
      <x:c r="J49" s="51" t="str">
        <x:v>1 minute</x:v>
      </x:c>
      <x:c r="K49" s="51" t="str">
        <x:v>Creatures in a 10-foot-radius cloud make a Constitution saving throw. On a failed save, a creature is Blinded for 1 minute.</x:v>
      </x:c>
      <x:c r="L49" s="51" t="str">
        <x:v>10-foot radius cloud</x:v>
      </x:c>
      <x:c r="M49" s="51" t="str">
        <x:v>Constitution</x:v>
      </x:c>
      <x:c r="N49" s="39" t="str">
        <x:v>Bonus Action to use or apply</x:v>
      </x:c>
    </x:row>
    <x:row r="50">
      <x:c r="A50" s="38" t="str">
        <x:v>Bombs</x:v>
      </x:c>
      <x:c r="B50" s="51" t="str">
        <x:v>Condition Bombs</x:v>
      </x:c>
      <x:c r="C50" s="51" t="str">
        <x:v>Bomb of Charm</x:v>
      </x:c>
      <x:c r="D50" s="51" t="str">
        <x:v>Rare</x:v>
      </x:c>
      <x:c r="E50" s="51" t="n">
        <x:v>28</x:v>
      </x:c>
      <x:c r="F50" s="51" t="str">
        <x:v>Mineral / Salt / Ash</x:v>
      </x:c>
      <x:c r="G50" s="51" t="str">
        <x:v>Flower</x:v>
      </x:c>
      <x:c r="H50" s="51" t="str">
        <x:v>Sap / Resin</x:v>
      </x:c>
      <x:c r="I50" s="51" t="str">
        <x:v>Charm, Mind, Psychic, Fey</x:v>
      </x:c>
      <x:c r="J50" s="51" t="str">
        <x:v>1 minute</x:v>
      </x:c>
      <x:c r="K50" s="51" t="str">
        <x:v>Creatures in a 10-foot-radius cloud make a Wisdom saving throw. On a failed save, a creature is Charmed for 1 minute.</x:v>
      </x:c>
      <x:c r="L50" s="51" t="str">
        <x:v>10-foot radius cloud</x:v>
      </x:c>
      <x:c r="M50" s="51" t="str">
        <x:v>Wisdom</x:v>
      </x:c>
      <x:c r="N50" s="39" t="str">
        <x:v>Bonus Action to use or apply</x:v>
      </x:c>
    </x:row>
    <x:row r="51">
      <x:c r="A51" s="38" t="str">
        <x:v>Bombs</x:v>
      </x:c>
      <x:c r="B51" s="51" t="str">
        <x:v>Condition Bombs</x:v>
      </x:c>
      <x:c r="C51" s="51" t="str">
        <x:v>Bomb of Confusion</x:v>
      </x:c>
      <x:c r="D51" s="51" t="str">
        <x:v>Rare</x:v>
      </x:c>
      <x:c r="E51" s="51" t="n">
        <x:v>28</x:v>
      </x:c>
      <x:c r="F51" s="51" t="str">
        <x:v>Mineral / Salt / Ash</x:v>
      </x:c>
      <x:c r="G51" s="51" t="str">
        <x:v>Flower</x:v>
      </x:c>
      <x:c r="H51" s="51" t="str">
        <x:v>Sap / Resin</x:v>
      </x:c>
      <x:c r="I51" s="51" t="str">
        <x:v>Confusion, Mind, Psychic</x:v>
      </x:c>
      <x:c r="J51" s="51" t="str">
        <x:v>1 minute</x:v>
      </x:c>
      <x:c r="K51" s="51" t="str">
        <x:v>Creatures in a 10-foot-radius cloud make a Wisdom saving throw. On a failed save, a creature is Confused for 1 minute.</x:v>
      </x:c>
      <x:c r="L51" s="51" t="str">
        <x:v>10-foot radius cloud</x:v>
      </x:c>
      <x:c r="M51" s="51" t="str">
        <x:v>Wisdom</x:v>
      </x:c>
      <x:c r="N51" s="39" t="str">
        <x:v>Bonus Action to use or apply</x:v>
      </x:c>
    </x:row>
    <x:row r="52">
      <x:c r="A52" s="38" t="str">
        <x:v>Bombs</x:v>
      </x:c>
      <x:c r="B52" s="51" t="str">
        <x:v>Condition Bombs</x:v>
      </x:c>
      <x:c r="C52" s="51" t="str">
        <x:v>Bomb of Deafness</x:v>
      </x:c>
      <x:c r="D52" s="51" t="str">
        <x:v>Uncommon</x:v>
      </x:c>
      <x:c r="E52" s="51" t="n">
        <x:v>22</x:v>
      </x:c>
      <x:c r="F52" s="51" t="str">
        <x:v>Mineral / Salt / Ash</x:v>
      </x:c>
      <x:c r="G52" s="51" t="str">
        <x:v>Flower</x:v>
      </x:c>
      <x:c r="H52" s="51" t="str">
        <x:v>Sap / Resin</x:v>
      </x:c>
      <x:c r="I52" s="51" t="str">
        <x:v>Deafness, Sound, Thunder</x:v>
      </x:c>
      <x:c r="J52" s="51" t="str">
        <x:v>1 minute</x:v>
      </x:c>
      <x:c r="K52" s="51" t="str">
        <x:v>Creatures in a 10-foot-radius cloud make a Constitution saving throw. On a failed save, a creature is Deafened for 1 minute.</x:v>
      </x:c>
      <x:c r="L52" s="51" t="str">
        <x:v>10-foot radius cloud</x:v>
      </x:c>
      <x:c r="M52" s="51" t="str">
        <x:v>Constitution</x:v>
      </x:c>
      <x:c r="N52" s="39" t="str">
        <x:v>Bonus Action to use or apply</x:v>
      </x:c>
    </x:row>
    <x:row r="53">
      <x:c r="A53" s="38" t="str">
        <x:v>Bombs</x:v>
      </x:c>
      <x:c r="B53" s="51" t="str">
        <x:v>Condition Bombs</x:v>
      </x:c>
      <x:c r="C53" s="51" t="str">
        <x:v>Bomb of Fear</x:v>
      </x:c>
      <x:c r="D53" s="51" t="str">
        <x:v>Rare</x:v>
      </x:c>
      <x:c r="E53" s="51" t="n">
        <x:v>28</x:v>
      </x:c>
      <x:c r="F53" s="51" t="str">
        <x:v>Mineral / Salt / Ash</x:v>
      </x:c>
      <x:c r="G53" s="51" t="str">
        <x:v>Flower</x:v>
      </x:c>
      <x:c r="H53" s="51" t="str">
        <x:v>Sap / Resin</x:v>
      </x:c>
      <x:c r="I53" s="51" t="str">
        <x:v>Fear, Mind, Psychic</x:v>
      </x:c>
      <x:c r="J53" s="51" t="str">
        <x:v>1 minute</x:v>
      </x:c>
      <x:c r="K53" s="51" t="str">
        <x:v>Creatures in a 10-foot-radius cloud make a Wisdom saving throw. On a failed save, a creature is Frightened for 1 minute.</x:v>
      </x:c>
      <x:c r="L53" s="51" t="str">
        <x:v>10-foot radius cloud</x:v>
      </x:c>
      <x:c r="M53" s="51" t="str">
        <x:v>Wisdom</x:v>
      </x:c>
      <x:c r="N53" s="39" t="str">
        <x:v>Bonus Action to use or apply</x:v>
      </x:c>
    </x:row>
    <x:row r="54">
      <x:c r="A54" s="38" t="str">
        <x:v>Bombs</x:v>
      </x:c>
      <x:c r="B54" s="51" t="str">
        <x:v>Condition Bombs</x:v>
      </x:c>
      <x:c r="C54" s="51" t="str">
        <x:v>Bomb of Paralysis</x:v>
      </x:c>
      <x:c r="D54" s="51" t="str">
        <x:v>Rare</x:v>
      </x:c>
      <x:c r="E54" s="51" t="n">
        <x:v>28</x:v>
      </x:c>
      <x:c r="F54" s="51" t="str">
        <x:v>Mineral / Salt / Ash</x:v>
      </x:c>
      <x:c r="G54" s="51" t="str">
        <x:v>Flower</x:v>
      </x:c>
      <x:c r="H54" s="51" t="str">
        <x:v>Sap / Resin</x:v>
      </x:c>
      <x:c r="I54" s="51" t="str">
        <x:v>Paralysis, Nerve</x:v>
      </x:c>
      <x:c r="J54" s="51" t="str">
        <x:v>1 minute</x:v>
      </x:c>
      <x:c r="K54" s="51" t="str">
        <x:v>Creatures in a 10-foot-radius cloud make a Constitution saving throw. On a failed save, a creature is Paralyzed for 1 minute.</x:v>
      </x:c>
      <x:c r="L54" s="51" t="str">
        <x:v>10-foot radius cloud</x:v>
      </x:c>
      <x:c r="M54" s="51" t="str">
        <x:v>Constitution</x:v>
      </x:c>
      <x:c r="N54" s="39" t="str">
        <x:v>Bonus Action to use or apply</x:v>
      </x:c>
    </x:row>
    <x:row r="55">
      <x:c r="A55" s="38" t="str">
        <x:v>Bombs</x:v>
      </x:c>
      <x:c r="B55" s="51" t="str">
        <x:v>Condition Bombs</x:v>
      </x:c>
      <x:c r="C55" s="51" t="str">
        <x:v>Bomb of Petrification</x:v>
      </x:c>
      <x:c r="D55" s="51" t="str">
        <x:v>Very Rare</x:v>
      </x:c>
      <x:c r="E55" s="51" t="n">
        <x:v>34</x:v>
      </x:c>
      <x:c r="F55" s="51" t="str">
        <x:v>Mineral / Salt / Ash</x:v>
      </x:c>
      <x:c r="G55" s="51" t="str">
        <x:v>Flower</x:v>
      </x:c>
      <x:c r="H55" s="51" t="str">
        <x:v>Sap / Resin</x:v>
      </x:c>
      <x:c r="I55" s="51" t="str">
        <x:v>Petrification, Stone</x:v>
      </x:c>
      <x:c r="J55" s="51" t="str">
        <x:v>1 minute</x:v>
      </x:c>
      <x:c r="K55" s="51" t="str">
        <x:v>Creatures in a 10-foot-radius cloud make a Constitution saving throw. On a failed save, a creature is Petrified for 1 minute.</x:v>
      </x:c>
      <x:c r="L55" s="51" t="str">
        <x:v>10-foot radius cloud</x:v>
      </x:c>
      <x:c r="M55" s="51" t="str">
        <x:v>Constitution</x:v>
      </x:c>
      <x:c r="N55" s="39" t="str">
        <x:v>Bonus Action to use or apply</x:v>
      </x:c>
    </x:row>
    <x:row r="56">
      <x:c r="A56" s="38" t="str">
        <x:v>Bombs</x:v>
      </x:c>
      <x:c r="B56" s="51" t="str">
        <x:v>Condition Bombs</x:v>
      </x:c>
      <x:c r="C56" s="51" t="str">
        <x:v>Bomb of Poisoning</x:v>
      </x:c>
      <x:c r="D56" s="51" t="str">
        <x:v>Uncommon</x:v>
      </x:c>
      <x:c r="E56" s="51" t="n">
        <x:v>22</x:v>
      </x:c>
      <x:c r="F56" s="51" t="str">
        <x:v>Mineral / Salt / Ash</x:v>
      </x:c>
      <x:c r="G56" s="51" t="str">
        <x:v>Flower</x:v>
      </x:c>
      <x:c r="H56" s="51" t="str">
        <x:v>Sap / Resin</x:v>
      </x:c>
      <x:c r="I56" s="51" t="str">
        <x:v>Poison, Venom</x:v>
      </x:c>
      <x:c r="J56" s="51" t="str">
        <x:v>1 minute</x:v>
      </x:c>
      <x:c r="K56" s="51" t="str">
        <x:v>Creatures in a 10-foot-radius cloud make a Constitution saving throw. On a failed save, a creature is Poisoned for 1 minute.</x:v>
      </x:c>
      <x:c r="L56" s="51" t="str">
        <x:v>10-foot radius cloud</x:v>
      </x:c>
      <x:c r="M56" s="51" t="str">
        <x:v>Constitution</x:v>
      </x:c>
      <x:c r="N56" s="39" t="str">
        <x:v>Bonus Action to use or apply</x:v>
      </x:c>
    </x:row>
    <x:row r="57">
      <x:c r="A57" s="38" t="str">
        <x:v>Bombs</x:v>
      </x:c>
      <x:c r="B57" s="51" t="str">
        <x:v>Condition Bombs</x:v>
      </x:c>
      <x:c r="C57" s="51" t="str">
        <x:v>Bomb of Restraint</x:v>
      </x:c>
      <x:c r="D57" s="51" t="str">
        <x:v>Rare</x:v>
      </x:c>
      <x:c r="E57" s="51" t="n">
        <x:v>28</x:v>
      </x:c>
      <x:c r="F57" s="51" t="str">
        <x:v>Mineral / Salt / Ash</x:v>
      </x:c>
      <x:c r="G57" s="51" t="str">
        <x:v>Flower</x:v>
      </x:c>
      <x:c r="H57" s="51" t="str">
        <x:v>Sap / Resin</x:v>
      </x:c>
      <x:c r="I57" s="51" t="str">
        <x:v>Restraint, Binding</x:v>
      </x:c>
      <x:c r="J57" s="51" t="str">
        <x:v>1 minute</x:v>
      </x:c>
      <x:c r="K57" s="51" t="str">
        <x:v>Creatures in a 10-foot-radius cloud make a Dexterity saving throw. On a failed save, a creature is Restrained for 1 minute.</x:v>
      </x:c>
      <x:c r="L57" s="51" t="str">
        <x:v>10-foot radius cloud</x:v>
      </x:c>
      <x:c r="M57" s="51" t="str">
        <x:v>Dexterity</x:v>
      </x:c>
      <x:c r="N57" s="39" t="str">
        <x:v>Bonus Action to use or apply</x:v>
      </x:c>
    </x:row>
    <x:row r="58">
      <x:c r="A58" s="38" t="str">
        <x:v>Bombs</x:v>
      </x:c>
      <x:c r="B58" s="51" t="str">
        <x:v>Condition Bombs</x:v>
      </x:c>
      <x:c r="C58" s="51" t="str">
        <x:v>Bomb of Stunning</x:v>
      </x:c>
      <x:c r="D58" s="51" t="str">
        <x:v>Rare</x:v>
      </x:c>
      <x:c r="E58" s="51" t="n">
        <x:v>28</x:v>
      </x:c>
      <x:c r="F58" s="51" t="str">
        <x:v>Mineral / Salt / Ash</x:v>
      </x:c>
      <x:c r="G58" s="51" t="str">
        <x:v>Flower</x:v>
      </x:c>
      <x:c r="H58" s="51" t="str">
        <x:v>Sap / Resin</x:v>
      </x:c>
      <x:c r="I58" s="51" t="str">
        <x:v>Stunning, Nerve, Lightning, Thunder</x:v>
      </x:c>
      <x:c r="J58" s="51" t="str">
        <x:v>Until the end of the target's next turn</x:v>
      </x:c>
      <x:c r="K58" s="51" t="str">
        <x:v>Creatures in a 10-foot-radius cloud make a Constitution saving throw. On a failed save, a creature is Stunned for Until the end of the target's next turn.</x:v>
      </x:c>
      <x:c r="L58" s="51" t="str">
        <x:v>10-foot radius cloud</x:v>
      </x:c>
      <x:c r="M58" s="51" t="str">
        <x:v>Constitution</x:v>
      </x:c>
      <x:c r="N58" s="39" t="str">
        <x:v>Bonus Action to use or apply</x:v>
      </x:c>
    </x:row>
    <x:row r="59">
      <x:c r="A59" s="38" t="str">
        <x:v>Bombs</x:v>
      </x:c>
      <x:c r="B59" s="51" t="str">
        <x:v>Elemental Bombs</x:v>
      </x:c>
      <x:c r="C59" s="51" t="str">
        <x:v>Bomb of Acid</x:v>
      </x:c>
      <x:c r="D59" s="51" t="str">
        <x:v>Uncommon</x:v>
      </x:c>
      <x:c r="E59" s="51" t="n">
        <x:v>22</x:v>
      </x:c>
      <x:c r="F59" s="51" t="str">
        <x:v>Mineral / Salt / Ash</x:v>
      </x:c>
      <x:c r="G59" s="51" t="str">
        <x:v>Sap / Resin</x:v>
      </x:c>
      <x:c r="H59" s="51" t="str">
        <x:v>Thorn / Bark / Wood</x:v>
      </x:c>
      <x:c r="I59" s="51" t="str">
        <x:v>Acid</x:v>
      </x:c>
      <x:c r="J59" s="51" t="str">
        <x:v>Instant</x:v>
      </x:c>
      <x:c r="K59" s="51" t="str">
        <x:v>Creatures in a 10-foot-radius burst make a Dexterity saving throw, taking 2d6 acid damage on a failed save or half as much on a success.</x:v>
      </x:c>
      <x:c r="L59" s="51" t="str">
        <x:v>10-foot radius burst</x:v>
      </x:c>
      <x:c r="M59" s="51" t="str">
        <x:v>Dexterity</x:v>
      </x:c>
      <x:c r="N59" s="39" t="str">
        <x:v>Bonus Action to use or apply</x:v>
      </x:c>
    </x:row>
    <x:row r="60">
      <x:c r="A60" s="38" t="str">
        <x:v>Bombs</x:v>
      </x:c>
      <x:c r="B60" s="51" t="str">
        <x:v>Elemental Bombs</x:v>
      </x:c>
      <x:c r="C60" s="51" t="str">
        <x:v>Bomb of Cold</x:v>
      </x:c>
      <x:c r="D60" s="51" t="str">
        <x:v>Uncommon</x:v>
      </x:c>
      <x:c r="E60" s="51" t="n">
        <x:v>22</x:v>
      </x:c>
      <x:c r="F60" s="51" t="str">
        <x:v>Mineral / Salt / Ash</x:v>
      </x:c>
      <x:c r="G60" s="51" t="str">
        <x:v>Sap / Resin</x:v>
      </x:c>
      <x:c r="H60" s="51" t="str">
        <x:v>Thorn / Bark / Wood</x:v>
      </x:c>
      <x:c r="I60" s="51" t="str">
        <x:v>Cold</x:v>
      </x:c>
      <x:c r="J60" s="51" t="str">
        <x:v>Instant</x:v>
      </x:c>
      <x:c r="K60" s="51" t="str">
        <x:v>Creatures in a 10-foot-radius burst make a Dexterity saving throw, taking 2d6 cold damage on a failed save or half as much on a success.</x:v>
      </x:c>
      <x:c r="L60" s="51" t="str">
        <x:v>10-foot radius burst</x:v>
      </x:c>
      <x:c r="M60" s="51" t="str">
        <x:v>Dexterity</x:v>
      </x:c>
      <x:c r="N60" s="39" t="str">
        <x:v>Bonus Action to use or apply</x:v>
      </x:c>
    </x:row>
    <x:row r="61">
      <x:c r="A61" s="38" t="str">
        <x:v>Bombs</x:v>
      </x:c>
      <x:c r="B61" s="51" t="str">
        <x:v>Elemental Bombs</x:v>
      </x:c>
      <x:c r="C61" s="51" t="str">
        <x:v>Bomb of Fire</x:v>
      </x:c>
      <x:c r="D61" s="51" t="str">
        <x:v>Uncommon</x:v>
      </x:c>
      <x:c r="E61" s="51" t="n">
        <x:v>22</x:v>
      </x:c>
      <x:c r="F61" s="51" t="str">
        <x:v>Mineral / Salt / Ash</x:v>
      </x:c>
      <x:c r="G61" s="51" t="str">
        <x:v>Sap / Resin</x:v>
      </x:c>
      <x:c r="H61" s="51" t="str">
        <x:v>Thorn / Bark / Wood</x:v>
      </x:c>
      <x:c r="I61" s="51" t="str">
        <x:v>Fire</x:v>
      </x:c>
      <x:c r="J61" s="51" t="str">
        <x:v>Instant</x:v>
      </x:c>
      <x:c r="K61" s="51" t="str">
        <x:v>Creatures in a 10-foot-radius burst make a Dexterity saving throw, taking 2d6 fire damage on a failed save or half as much on a success.</x:v>
      </x:c>
      <x:c r="L61" s="51" t="str">
        <x:v>10-foot radius burst</x:v>
      </x:c>
      <x:c r="M61" s="51" t="str">
        <x:v>Dexterity</x:v>
      </x:c>
      <x:c r="N61" s="39" t="str">
        <x:v>Bonus Action to use or apply</x:v>
      </x:c>
    </x:row>
    <x:row r="62">
      <x:c r="A62" s="38" t="str">
        <x:v>Bombs</x:v>
      </x:c>
      <x:c r="B62" s="51" t="str">
        <x:v>Elemental Bombs</x:v>
      </x:c>
      <x:c r="C62" s="51" t="str">
        <x:v>Bomb of Force</x:v>
      </x:c>
      <x:c r="D62" s="51" t="str">
        <x:v>Rare</x:v>
      </x:c>
      <x:c r="E62" s="51" t="n">
        <x:v>28</x:v>
      </x:c>
      <x:c r="F62" s="51" t="str">
        <x:v>Mineral / Salt / Ash</x:v>
      </x:c>
      <x:c r="G62" s="51" t="str">
        <x:v>Sap / Resin</x:v>
      </x:c>
      <x:c r="H62" s="51" t="str">
        <x:v>Thorn / Bark / Wood</x:v>
      </x:c>
      <x:c r="I62" s="51" t="str">
        <x:v>Force</x:v>
      </x:c>
      <x:c r="J62" s="51" t="str">
        <x:v>Instant</x:v>
      </x:c>
      <x:c r="K62" s="51" t="str">
        <x:v>Creatures in a 10-foot-radius burst make a Dexterity saving throw, taking 3d6 force damage on a failed save or half as much on a success.</x:v>
      </x:c>
      <x:c r="L62" s="51" t="str">
        <x:v>10-foot radius burst</x:v>
      </x:c>
      <x:c r="M62" s="51" t="str">
        <x:v>Dexterity</x:v>
      </x:c>
      <x:c r="N62" s="39" t="str">
        <x:v>Bonus Action to use or apply</x:v>
      </x:c>
    </x:row>
    <x:row r="63">
      <x:c r="A63" s="38" t="str">
        <x:v>Bombs</x:v>
      </x:c>
      <x:c r="B63" s="51" t="str">
        <x:v>Elemental Bombs</x:v>
      </x:c>
      <x:c r="C63" s="51" t="str">
        <x:v>Bomb of Lightning</x:v>
      </x:c>
      <x:c r="D63" s="51" t="str">
        <x:v>Uncommon</x:v>
      </x:c>
      <x:c r="E63" s="51" t="n">
        <x:v>22</x:v>
      </x:c>
      <x:c r="F63" s="51" t="str">
        <x:v>Mineral / Salt / Ash</x:v>
      </x:c>
      <x:c r="G63" s="51" t="str">
        <x:v>Sap / Resin</x:v>
      </x:c>
      <x:c r="H63" s="51" t="str">
        <x:v>Thorn / Bark / Wood</x:v>
      </x:c>
      <x:c r="I63" s="51" t="str">
        <x:v>Lightning</x:v>
      </x:c>
      <x:c r="J63" s="51" t="str">
        <x:v>Instant</x:v>
      </x:c>
      <x:c r="K63" s="51" t="str">
        <x:v>Creatures in a 10-foot-radius burst make a Dexterity saving throw, taking 2d6 lightning damage on a failed save or half as much on a success.</x:v>
      </x:c>
      <x:c r="L63" s="51" t="str">
        <x:v>10-foot radius burst</x:v>
      </x:c>
      <x:c r="M63" s="51" t="str">
        <x:v>Dexterity</x:v>
      </x:c>
      <x:c r="N63" s="39" t="str">
        <x:v>Bonus Action to use or apply</x:v>
      </x:c>
    </x:row>
    <x:row r="64">
      <x:c r="A64" s="38" t="str">
        <x:v>Bombs</x:v>
      </x:c>
      <x:c r="B64" s="51" t="str">
        <x:v>Elemental Bombs</x:v>
      </x:c>
      <x:c r="C64" s="51" t="str">
        <x:v>Bomb of Necrotic</x:v>
      </x:c>
      <x:c r="D64" s="51" t="str">
        <x:v>Rare</x:v>
      </x:c>
      <x:c r="E64" s="51" t="n">
        <x:v>28</x:v>
      </x:c>
      <x:c r="F64" s="51" t="str">
        <x:v>Mineral / Salt / Ash</x:v>
      </x:c>
      <x:c r="G64" s="51" t="str">
        <x:v>Sap / Resin</x:v>
      </x:c>
      <x:c r="H64" s="51" t="str">
        <x:v>Thorn / Bark / Wood</x:v>
      </x:c>
      <x:c r="I64" s="51" t="str">
        <x:v>Necrotic</x:v>
      </x:c>
      <x:c r="J64" s="51" t="str">
        <x:v>Instant</x:v>
      </x:c>
      <x:c r="K64" s="51" t="str">
        <x:v>Creatures in a 10-foot-radius burst make a Constitution saving throw, taking 3d6 necrotic damage on a failed save or half as much on a success.</x:v>
      </x:c>
      <x:c r="L64" s="51" t="str">
        <x:v>10-foot radius burst</x:v>
      </x:c>
      <x:c r="M64" s="51" t="str">
        <x:v>Constitution</x:v>
      </x:c>
      <x:c r="N64" s="39" t="str">
        <x:v>Bonus Action to use or apply</x:v>
      </x:c>
    </x:row>
    <x:row r="65">
      <x:c r="A65" s="38" t="str">
        <x:v>Bombs</x:v>
      </x:c>
      <x:c r="B65" s="51" t="str">
        <x:v>Elemental Bombs</x:v>
      </x:c>
      <x:c r="C65" s="51" t="str">
        <x:v>Bomb of Poison</x:v>
      </x:c>
      <x:c r="D65" s="51" t="str">
        <x:v>Uncommon</x:v>
      </x:c>
      <x:c r="E65" s="51" t="n">
        <x:v>22</x:v>
      </x:c>
      <x:c r="F65" s="51" t="str">
        <x:v>Mineral / Salt / Ash</x:v>
      </x:c>
      <x:c r="G65" s="51" t="str">
        <x:v>Sap / Resin</x:v>
      </x:c>
      <x:c r="H65" s="51" t="str">
        <x:v>Thorn / Bark / Wood</x:v>
      </x:c>
      <x:c r="I65" s="51" t="str">
        <x:v>Poison</x:v>
      </x:c>
      <x:c r="J65" s="51" t="str">
        <x:v>Instant</x:v>
      </x:c>
      <x:c r="K65" s="51" t="str">
        <x:v>Creatures in a 10-foot-radius burst make a Constitution saving throw, taking 2d6 poison damage on a failed save or half as much on a success.</x:v>
      </x:c>
      <x:c r="L65" s="51" t="str">
        <x:v>10-foot radius burst</x:v>
      </x:c>
      <x:c r="M65" s="51" t="str">
        <x:v>Constitution</x:v>
      </x:c>
      <x:c r="N65" s="39" t="str">
        <x:v>Bonus Action to use or apply</x:v>
      </x:c>
    </x:row>
    <x:row r="66">
      <x:c r="A66" s="38" t="str">
        <x:v>Bombs</x:v>
      </x:c>
      <x:c r="B66" s="51" t="str">
        <x:v>Elemental Bombs</x:v>
      </x:c>
      <x:c r="C66" s="51" t="str">
        <x:v>Bomb of Psychic</x:v>
      </x:c>
      <x:c r="D66" s="51" t="str">
        <x:v>Rare</x:v>
      </x:c>
      <x:c r="E66" s="51" t="n">
        <x:v>28</x:v>
      </x:c>
      <x:c r="F66" s="51" t="str">
        <x:v>Mineral / Salt / Ash</x:v>
      </x:c>
      <x:c r="G66" s="51" t="str">
        <x:v>Sap / Resin</x:v>
      </x:c>
      <x:c r="H66" s="51" t="str">
        <x:v>Thorn / Bark / Wood</x:v>
      </x:c>
      <x:c r="I66" s="51" t="str">
        <x:v>Psychic</x:v>
      </x:c>
      <x:c r="J66" s="51" t="str">
        <x:v>Instant</x:v>
      </x:c>
      <x:c r="K66" s="51" t="str">
        <x:v>Creatures in a 10-foot-radius burst make a Wisdom saving throw, taking 3d6 psychic damage on a failed save or half as much on a success.</x:v>
      </x:c>
      <x:c r="L66" s="51" t="str">
        <x:v>10-foot radius burst</x:v>
      </x:c>
      <x:c r="M66" s="51" t="str">
        <x:v>Wisdom</x:v>
      </x:c>
      <x:c r="N66" s="39" t="str">
        <x:v>Bonus Action to use or apply</x:v>
      </x:c>
    </x:row>
    <x:row r="67">
      <x:c r="A67" s="38" t="str">
        <x:v>Bombs</x:v>
      </x:c>
      <x:c r="B67" s="51" t="str">
        <x:v>Elemental Bombs</x:v>
      </x:c>
      <x:c r="C67" s="51" t="str">
        <x:v>Bomb of Radiant</x:v>
      </x:c>
      <x:c r="D67" s="51" t="str">
        <x:v>Rare</x:v>
      </x:c>
      <x:c r="E67" s="51" t="n">
        <x:v>28</x:v>
      </x:c>
      <x:c r="F67" s="51" t="str">
        <x:v>Mineral / Salt / Ash</x:v>
      </x:c>
      <x:c r="G67" s="51" t="str">
        <x:v>Sap / Resin</x:v>
      </x:c>
      <x:c r="H67" s="51" t="str">
        <x:v>Thorn / Bark / Wood</x:v>
      </x:c>
      <x:c r="I67" s="51" t="str">
        <x:v>Radiant</x:v>
      </x:c>
      <x:c r="J67" s="51" t="str">
        <x:v>Instant</x:v>
      </x:c>
      <x:c r="K67" s="51" t="str">
        <x:v>Creatures in a 10-foot-radius burst make a Dexterity saving throw, taking 3d6 radiant damage on a failed save or half as much on a success.</x:v>
      </x:c>
      <x:c r="L67" s="51" t="str">
        <x:v>10-foot radius burst</x:v>
      </x:c>
      <x:c r="M67" s="51" t="str">
        <x:v>Dexterity</x:v>
      </x:c>
      <x:c r="N67" s="39" t="str">
        <x:v>Bonus Action to use or apply</x:v>
      </x:c>
    </x:row>
    <x:row r="68">
      <x:c r="A68" s="38" t="str">
        <x:v>Bombs</x:v>
      </x:c>
      <x:c r="B68" s="51" t="str">
        <x:v>Elemental Bombs</x:v>
      </x:c>
      <x:c r="C68" s="51" t="str">
        <x:v>Bomb of Thunder</x:v>
      </x:c>
      <x:c r="D68" s="51" t="str">
        <x:v>Uncommon</x:v>
      </x:c>
      <x:c r="E68" s="51" t="n">
        <x:v>22</x:v>
      </x:c>
      <x:c r="F68" s="51" t="str">
        <x:v>Mineral / Salt / Ash</x:v>
      </x:c>
      <x:c r="G68" s="51" t="str">
        <x:v>Sap / Resin</x:v>
      </x:c>
      <x:c r="H68" s="51" t="str">
        <x:v>Thorn / Bark / Wood</x:v>
      </x:c>
      <x:c r="I68" s="51" t="str">
        <x:v>Thunder</x:v>
      </x:c>
      <x:c r="J68" s="51" t="str">
        <x:v>Instant</x:v>
      </x:c>
      <x:c r="K68" s="51" t="str">
        <x:v>Creatures in a 10-foot-radius burst make a Constitution saving throw, taking 2d6 thunder damage on a failed save or half as much on a success.</x:v>
      </x:c>
      <x:c r="L68" s="51" t="str">
        <x:v>10-foot radius burst</x:v>
      </x:c>
      <x:c r="M68" s="51" t="str">
        <x:v>Constitution</x:v>
      </x:c>
      <x:c r="N68" s="39" t="str">
        <x:v>Bonus Action to use or apply</x:v>
      </x:c>
    </x:row>
    <x:row r="69">
      <x:c r="A69" s="38" t="str">
        <x:v>Elixirs</x:v>
      </x:c>
      <x:c r="B69" s="51" t="str">
        <x:v>Ability Elixirs</x:v>
      </x:c>
      <x:c r="C69" s="51" t="str">
        <x:v>Elixir of Charisma</x:v>
      </x:c>
      <x:c r="D69" s="51" t="str">
        <x:v>Uncommon</x:v>
      </x:c>
      <x:c r="E69" s="51" t="n">
        <x:v>22</x:v>
      </x:c>
      <x:c r="F69" s="51" t="str">
        <x:v>Flower</x:v>
      </x:c>
      <x:c r="G69" s="51" t="str">
        <x:v>Sap / Resin</x:v>
      </x:c>
      <x:c r="H69" s="51" t="str">
        <x:v>Mineral / Salt / Ash</x:v>
      </x:c>
      <x:c r="I69" s="51" t="str"/>
      <x:c r="J69" s="51" t="str">
        <x:v>1 hour</x:v>
      </x:c>
      <x:c r="K69" s="51" t="str">
        <x:v>Charisma increases by 1d4 for the duration.</x:v>
      </x:c>
      <x:c r="L69" s="51" t="str"/>
      <x:c r="M69" s="51" t="str"/>
      <x:c r="N69" s="39" t="str">
        <x:v>Bonus Action to use or apply</x:v>
      </x:c>
    </x:row>
    <x:row r="70">
      <x:c r="A70" s="38" t="str">
        <x:v>Elixirs</x:v>
      </x:c>
      <x:c r="B70" s="51" t="str">
        <x:v>Ability Elixirs</x:v>
      </x:c>
      <x:c r="C70" s="51" t="str">
        <x:v>Elixir of Constitution</x:v>
      </x:c>
      <x:c r="D70" s="51" t="str">
        <x:v>Uncommon</x:v>
      </x:c>
      <x:c r="E70" s="51" t="n">
        <x:v>22</x:v>
      </x:c>
      <x:c r="F70" s="51" t="str">
        <x:v>Root</x:v>
      </x:c>
      <x:c r="G70" s="51" t="str">
        <x:v>Mushroom</x:v>
      </x:c>
      <x:c r="H70" s="51" t="str">
        <x:v>Moss / Lichen</x:v>
      </x:c>
      <x:c r="I70" s="51" t="str"/>
      <x:c r="J70" s="51" t="str">
        <x:v>1 hour</x:v>
      </x:c>
      <x:c r="K70" s="51" t="str">
        <x:v>Constitution increases by 1d4 for the duration.</x:v>
      </x:c>
      <x:c r="L70" s="51" t="str"/>
      <x:c r="M70" s="51" t="str"/>
      <x:c r="N70" s="39" t="str">
        <x:v>Bonus Action to use or apply</x:v>
      </x:c>
    </x:row>
    <x:row r="71">
      <x:c r="A71" s="38" t="str">
        <x:v>Elixirs</x:v>
      </x:c>
      <x:c r="B71" s="51" t="str">
        <x:v>Ability Elixirs</x:v>
      </x:c>
      <x:c r="C71" s="51" t="str">
        <x:v>Elixir of Dexterity</x:v>
      </x:c>
      <x:c r="D71" s="51" t="str">
        <x:v>Uncommon</x:v>
      </x:c>
      <x:c r="E71" s="51" t="n">
        <x:v>22</x:v>
      </x:c>
      <x:c r="F71" s="51" t="str">
        <x:v>Leaf / Vine</x:v>
      </x:c>
      <x:c r="G71" s="51" t="str">
        <x:v>Flower</x:v>
      </x:c>
      <x:c r="H71" s="51" t="str">
        <x:v>Sap / Resin</x:v>
      </x:c>
      <x:c r="I71" s="51" t="str"/>
      <x:c r="J71" s="51" t="str">
        <x:v>1 hour</x:v>
      </x:c>
      <x:c r="K71" s="51" t="str">
        <x:v>Dexterity increases by 1d4 for the duration.</x:v>
      </x:c>
      <x:c r="L71" s="51" t="str"/>
      <x:c r="M71" s="51" t="str"/>
      <x:c r="N71" s="39" t="str">
        <x:v>Bonus Action to use or apply</x:v>
      </x:c>
    </x:row>
    <x:row r="72">
      <x:c r="A72" s="38" t="str">
        <x:v>Elixirs</x:v>
      </x:c>
      <x:c r="B72" s="51" t="str">
        <x:v>Ability Elixirs</x:v>
      </x:c>
      <x:c r="C72" s="51" t="str">
        <x:v>Elixir of Intelligence</x:v>
      </x:c>
      <x:c r="D72" s="51" t="str">
        <x:v>Uncommon</x:v>
      </x:c>
      <x:c r="E72" s="51" t="n">
        <x:v>22</x:v>
      </x:c>
      <x:c r="F72" s="51" t="str">
        <x:v>Flower</x:v>
      </x:c>
      <x:c r="G72" s="51" t="str">
        <x:v>Mineral / Salt / Ash</x:v>
      </x:c>
      <x:c r="H72" s="51" t="str">
        <x:v>Root</x:v>
      </x:c>
      <x:c r="I72" s="51" t="str"/>
      <x:c r="J72" s="51" t="str">
        <x:v>1 hour</x:v>
      </x:c>
      <x:c r="K72" s="51" t="str">
        <x:v>Intelligence increases by 1d4 for the duration.</x:v>
      </x:c>
      <x:c r="L72" s="51" t="str"/>
      <x:c r="M72" s="51" t="str"/>
      <x:c r="N72" s="39" t="str">
        <x:v>Bonus Action to use or apply</x:v>
      </x:c>
    </x:row>
    <x:row r="73">
      <x:c r="A73" s="38" t="str">
        <x:v>Elixirs</x:v>
      </x:c>
      <x:c r="B73" s="51" t="str">
        <x:v>Ability Elixirs</x:v>
      </x:c>
      <x:c r="C73" s="51" t="str">
        <x:v>Elixir of Strength</x:v>
      </x:c>
      <x:c r="D73" s="51" t="str">
        <x:v>Uncommon</x:v>
      </x:c>
      <x:c r="E73" s="51" t="n">
        <x:v>22</x:v>
      </x:c>
      <x:c r="F73" s="51" t="str">
        <x:v>Root</x:v>
      </x:c>
      <x:c r="G73" s="51" t="str">
        <x:v>Thorn / Bark / Wood</x:v>
      </x:c>
      <x:c r="H73" s="51" t="str">
        <x:v>Mushroom</x:v>
      </x:c>
      <x:c r="I73" s="51" t="str"/>
      <x:c r="J73" s="51" t="str">
        <x:v>1 hour</x:v>
      </x:c>
      <x:c r="K73" s="51" t="str">
        <x:v>Strength increases by 1d4 for the duration.</x:v>
      </x:c>
      <x:c r="L73" s="51" t="str"/>
      <x:c r="M73" s="51" t="str"/>
      <x:c r="N73" s="39" t="str">
        <x:v>Bonus Action to use or apply</x:v>
      </x:c>
    </x:row>
    <x:row r="74">
      <x:c r="A74" s="38" t="str">
        <x:v>Elixirs</x:v>
      </x:c>
      <x:c r="B74" s="51" t="str">
        <x:v>Ability Elixirs</x:v>
      </x:c>
      <x:c r="C74" s="51" t="str">
        <x:v>Elixir of Wisdom</x:v>
      </x:c>
      <x:c r="D74" s="51" t="str">
        <x:v>Uncommon</x:v>
      </x:c>
      <x:c r="E74" s="51" t="n">
        <x:v>22</x:v>
      </x:c>
      <x:c r="F74" s="51" t="str">
        <x:v>Moss / Lichen</x:v>
      </x:c>
      <x:c r="G74" s="51" t="str">
        <x:v>Flower</x:v>
      </x:c>
      <x:c r="H74" s="51" t="str">
        <x:v>Root</x:v>
      </x:c>
      <x:c r="I74" s="51" t="str"/>
      <x:c r="J74" s="51" t="str">
        <x:v>1 hour</x:v>
      </x:c>
      <x:c r="K74" s="51" t="str">
        <x:v>Wisdom increases by 1d4 for the duration.</x:v>
      </x:c>
      <x:c r="L74" s="51" t="str"/>
      <x:c r="M74" s="51" t="str"/>
      <x:c r="N74" s="39" t="str">
        <x:v>Bonus Action to use or apply</x:v>
      </x:c>
    </x:row>
    <x:row r="75">
      <x:c r="A75" s="38" t="str">
        <x:v>Elixirs</x:v>
      </x:c>
      <x:c r="B75" s="51" t="str">
        <x:v>Immunity Elixirs</x:v>
      </x:c>
      <x:c r="C75" s="51" t="str">
        <x:v>Elixir of Blindness Immunity</x:v>
      </x:c>
      <x:c r="D75" s="51" t="str">
        <x:v>Uncommon</x:v>
      </x:c>
      <x:c r="E75" s="51" t="n">
        <x:v>22</x:v>
      </x:c>
      <x:c r="F75" s="51" t="str">
        <x:v>Root</x:v>
      </x:c>
      <x:c r="G75" s="51" t="str">
        <x:v>Flower</x:v>
      </x:c>
      <x:c r="H75" s="51" t="str">
        <x:v>Mineral / Salt / Ash</x:v>
      </x:c>
      <x:c r="I75" s="51" t="str">
        <x:v>Blindness, Sight</x:v>
      </x:c>
      <x:c r="J75" s="51" t="str">
        <x:v>1 hour</x:v>
      </x:c>
      <x:c r="K75" s="51" t="str">
        <x:v>Immediately ends the Blinded condition if present and grants immunity to Blinded for 1 hour.</x:v>
      </x:c>
      <x:c r="L75" s="51" t="str"/>
      <x:c r="M75" s="51" t="str"/>
      <x:c r="N75" s="39" t="str">
        <x:v>Bonus Action to use or apply</x:v>
      </x:c>
    </x:row>
    <x:row r="76">
      <x:c r="A76" s="38" t="str">
        <x:v>Elixirs</x:v>
      </x:c>
      <x:c r="B76" s="51" t="str">
        <x:v>Immunity Elixirs</x:v>
      </x:c>
      <x:c r="C76" s="51" t="str">
        <x:v>Elixir of Charm Immunity</x:v>
      </x:c>
      <x:c r="D76" s="51" t="str">
        <x:v>Rare</x:v>
      </x:c>
      <x:c r="E76" s="51" t="n">
        <x:v>28</x:v>
      </x:c>
      <x:c r="F76" s="51" t="str">
        <x:v>Root</x:v>
      </x:c>
      <x:c r="G76" s="51" t="str">
        <x:v>Flower</x:v>
      </x:c>
      <x:c r="H76" s="51" t="str">
        <x:v>Mineral / Salt / Ash</x:v>
      </x:c>
      <x:c r="I76" s="51" t="str">
        <x:v>Charm, Mind, Psychic, Fey</x:v>
      </x:c>
      <x:c r="J76" s="51" t="str">
        <x:v>1 hour</x:v>
      </x:c>
      <x:c r="K76" s="51" t="str">
        <x:v>Immediately ends the Charmed condition if present and grants immunity to Charmed for 1 hour.</x:v>
      </x:c>
      <x:c r="L76" s="51" t="str"/>
      <x:c r="M76" s="51" t="str"/>
      <x:c r="N76" s="39" t="str">
        <x:v>Bonus Action to use or apply</x:v>
      </x:c>
    </x:row>
    <x:row r="77">
      <x:c r="A77" s="38" t="str">
        <x:v>Elixirs</x:v>
      </x:c>
      <x:c r="B77" s="51" t="str">
        <x:v>Immunity Elixirs</x:v>
      </x:c>
      <x:c r="C77" s="51" t="str">
        <x:v>Elixir of Confusion Immunity</x:v>
      </x:c>
      <x:c r="D77" s="51" t="str">
        <x:v>Rare</x:v>
      </x:c>
      <x:c r="E77" s="51" t="n">
        <x:v>28</x:v>
      </x:c>
      <x:c r="F77" s="51" t="str">
        <x:v>Root</x:v>
      </x:c>
      <x:c r="G77" s="51" t="str">
        <x:v>Flower</x:v>
      </x:c>
      <x:c r="H77" s="51" t="str">
        <x:v>Mineral / Salt / Ash</x:v>
      </x:c>
      <x:c r="I77" s="51" t="str">
        <x:v>Confusion, Mind, Psychic</x:v>
      </x:c>
      <x:c r="J77" s="51" t="str">
        <x:v>1 hour</x:v>
      </x:c>
      <x:c r="K77" s="51" t="str">
        <x:v>Immediately ends the Confused condition if present and grants immunity to Confused for 1 hour.</x:v>
      </x:c>
      <x:c r="L77" s="51" t="str"/>
      <x:c r="M77" s="51" t="str"/>
      <x:c r="N77" s="39" t="str">
        <x:v>Bonus Action to use or apply</x:v>
      </x:c>
    </x:row>
    <x:row r="78">
      <x:c r="A78" s="38" t="str">
        <x:v>Elixirs</x:v>
      </x:c>
      <x:c r="B78" s="51" t="str">
        <x:v>Immunity Elixirs</x:v>
      </x:c>
      <x:c r="C78" s="51" t="str">
        <x:v>Elixir of Deafness Immunity</x:v>
      </x:c>
      <x:c r="D78" s="51" t="str">
        <x:v>Uncommon</x:v>
      </x:c>
      <x:c r="E78" s="51" t="n">
        <x:v>22</x:v>
      </x:c>
      <x:c r="F78" s="51" t="str">
        <x:v>Root</x:v>
      </x:c>
      <x:c r="G78" s="51" t="str">
        <x:v>Flower</x:v>
      </x:c>
      <x:c r="H78" s="51" t="str">
        <x:v>Mineral / Salt / Ash</x:v>
      </x:c>
      <x:c r="I78" s="51" t="str">
        <x:v>Deafness, Sound, Thunder</x:v>
      </x:c>
      <x:c r="J78" s="51" t="str">
        <x:v>1 hour</x:v>
      </x:c>
      <x:c r="K78" s="51" t="str">
        <x:v>Immediately ends the Deafened condition if present and grants immunity to Deafened for 1 hour.</x:v>
      </x:c>
      <x:c r="L78" s="51" t="str"/>
      <x:c r="M78" s="51" t="str"/>
      <x:c r="N78" s="39" t="str">
        <x:v>Bonus Action to use or apply</x:v>
      </x:c>
    </x:row>
    <x:row r="79">
      <x:c r="A79" s="38" t="str">
        <x:v>Elixirs</x:v>
      </x:c>
      <x:c r="B79" s="51" t="str">
        <x:v>Immunity Elixirs</x:v>
      </x:c>
      <x:c r="C79" s="51" t="str">
        <x:v>Elixir of Fear Immunity</x:v>
      </x:c>
      <x:c r="D79" s="51" t="str">
        <x:v>Rare</x:v>
      </x:c>
      <x:c r="E79" s="51" t="n">
        <x:v>28</x:v>
      </x:c>
      <x:c r="F79" s="51" t="str">
        <x:v>Root</x:v>
      </x:c>
      <x:c r="G79" s="51" t="str">
        <x:v>Flower</x:v>
      </x:c>
      <x:c r="H79" s="51" t="str">
        <x:v>Mineral / Salt / Ash</x:v>
      </x:c>
      <x:c r="I79" s="51" t="str">
        <x:v>Fear, Mind, Psychic</x:v>
      </x:c>
      <x:c r="J79" s="51" t="str">
        <x:v>1 hour</x:v>
      </x:c>
      <x:c r="K79" s="51" t="str">
        <x:v>Immediately ends the Frightened condition if present and grants immunity to Frightened for 1 hour.</x:v>
      </x:c>
      <x:c r="L79" s="51" t="str"/>
      <x:c r="M79" s="51" t="str"/>
      <x:c r="N79" s="39" t="str">
        <x:v>Bonus Action to use or apply</x:v>
      </x:c>
    </x:row>
    <x:row r="80">
      <x:c r="A80" s="38" t="str">
        <x:v>Elixirs</x:v>
      </x:c>
      <x:c r="B80" s="51" t="str">
        <x:v>Immunity Elixirs</x:v>
      </x:c>
      <x:c r="C80" s="51" t="str">
        <x:v>Elixir of Paralysis Immunity</x:v>
      </x:c>
      <x:c r="D80" s="51" t="str">
        <x:v>Rare</x:v>
      </x:c>
      <x:c r="E80" s="51" t="n">
        <x:v>28</x:v>
      </x:c>
      <x:c r="F80" s="51" t="str">
        <x:v>Root</x:v>
      </x:c>
      <x:c r="G80" s="51" t="str">
        <x:v>Flower</x:v>
      </x:c>
      <x:c r="H80" s="51" t="str">
        <x:v>Mineral / Salt / Ash</x:v>
      </x:c>
      <x:c r="I80" s="51" t="str">
        <x:v>Paralysis, Nerve</x:v>
      </x:c>
      <x:c r="J80" s="51" t="str">
        <x:v>1 hour</x:v>
      </x:c>
      <x:c r="K80" s="51" t="str">
        <x:v>Immediately ends the Paralyzed condition if present and grants immunity to Paralyzed for 1 hour.</x:v>
      </x:c>
      <x:c r="L80" s="51" t="str"/>
      <x:c r="M80" s="51" t="str"/>
      <x:c r="N80" s="39" t="str">
        <x:v>Bonus Action to use or apply</x:v>
      </x:c>
    </x:row>
    <x:row r="81">
      <x:c r="A81" s="38" t="str">
        <x:v>Elixirs</x:v>
      </x:c>
      <x:c r="B81" s="51" t="str">
        <x:v>Immunity Elixirs</x:v>
      </x:c>
      <x:c r="C81" s="51" t="str">
        <x:v>Elixir of Petrification Immunity</x:v>
      </x:c>
      <x:c r="D81" s="51" t="str">
        <x:v>Very Rare</x:v>
      </x:c>
      <x:c r="E81" s="51" t="n">
        <x:v>34</x:v>
      </x:c>
      <x:c r="F81" s="51" t="str">
        <x:v>Root</x:v>
      </x:c>
      <x:c r="G81" s="51" t="str">
        <x:v>Flower</x:v>
      </x:c>
      <x:c r="H81" s="51" t="str">
        <x:v>Mineral / Salt / Ash</x:v>
      </x:c>
      <x:c r="I81" s="51" t="str">
        <x:v>Petrification, Stone</x:v>
      </x:c>
      <x:c r="J81" s="51" t="str">
        <x:v>1 hour</x:v>
      </x:c>
      <x:c r="K81" s="51" t="str">
        <x:v>Immediately ends the Petrified condition if present and grants immunity to Petrified for 1 hour.</x:v>
      </x:c>
      <x:c r="L81" s="51" t="str"/>
      <x:c r="M81" s="51" t="str"/>
      <x:c r="N81" s="39" t="str">
        <x:v>Bonus Action to use or apply</x:v>
      </x:c>
    </x:row>
    <x:row r="82">
      <x:c r="A82" s="38" t="str">
        <x:v>Elixirs</x:v>
      </x:c>
      <x:c r="B82" s="51" t="str">
        <x:v>Immunity Elixirs</x:v>
      </x:c>
      <x:c r="C82" s="51" t="str">
        <x:v>Elixir of Poison Immunity</x:v>
      </x:c>
      <x:c r="D82" s="51" t="str">
        <x:v>Uncommon</x:v>
      </x:c>
      <x:c r="E82" s="51" t="n">
        <x:v>22</x:v>
      </x:c>
      <x:c r="F82" s="51" t="str">
        <x:v>Root</x:v>
      </x:c>
      <x:c r="G82" s="51" t="str">
        <x:v>Flower</x:v>
      </x:c>
      <x:c r="H82" s="51" t="str">
        <x:v>Mineral / Salt / Ash</x:v>
      </x:c>
      <x:c r="I82" s="51" t="str">
        <x:v>Poison, Venom</x:v>
      </x:c>
      <x:c r="J82" s="51" t="str">
        <x:v>1 hour</x:v>
      </x:c>
      <x:c r="K82" s="51" t="str">
        <x:v>Immediately ends the Poisoned condition if present and grants immunity to Poisoned for 1 hour.</x:v>
      </x:c>
      <x:c r="L82" s="51" t="str"/>
      <x:c r="M82" s="51" t="str"/>
      <x:c r="N82" s="39" t="str">
        <x:v>Bonus Action to use or apply</x:v>
      </x:c>
    </x:row>
    <x:row r="83">
      <x:c r="A83" s="38" t="str">
        <x:v>Elixirs</x:v>
      </x:c>
      <x:c r="B83" s="51" t="str">
        <x:v>Immunity Elixirs</x:v>
      </x:c>
      <x:c r="C83" s="51" t="str">
        <x:v>Elixir of Restraint Immunity</x:v>
      </x:c>
      <x:c r="D83" s="51" t="str">
        <x:v>Rare</x:v>
      </x:c>
      <x:c r="E83" s="51" t="n">
        <x:v>28</x:v>
      </x:c>
      <x:c r="F83" s="51" t="str">
        <x:v>Root</x:v>
      </x:c>
      <x:c r="G83" s="51" t="str">
        <x:v>Flower</x:v>
      </x:c>
      <x:c r="H83" s="51" t="str">
        <x:v>Mineral / Salt / Ash</x:v>
      </x:c>
      <x:c r="I83" s="51" t="str">
        <x:v>Restraint, Binding</x:v>
      </x:c>
      <x:c r="J83" s="51" t="str">
        <x:v>1 hour</x:v>
      </x:c>
      <x:c r="K83" s="51" t="str">
        <x:v>Immediately ends the Restrained condition if present and grants immunity to Restrained for 1 hour.</x:v>
      </x:c>
      <x:c r="L83" s="51" t="str"/>
      <x:c r="M83" s="51" t="str"/>
      <x:c r="N83" s="39" t="str">
        <x:v>Bonus Action to use or apply</x:v>
      </x:c>
    </x:row>
    <x:row r="84">
      <x:c r="A84" s="38" t="str">
        <x:v>Elixirs</x:v>
      </x:c>
      <x:c r="B84" s="51" t="str">
        <x:v>Immunity Elixirs</x:v>
      </x:c>
      <x:c r="C84" s="51" t="str">
        <x:v>Elixir of Stunning Immunity</x:v>
      </x:c>
      <x:c r="D84" s="51" t="str">
        <x:v>Rare</x:v>
      </x:c>
      <x:c r="E84" s="51" t="n">
        <x:v>28</x:v>
      </x:c>
      <x:c r="F84" s="51" t="str">
        <x:v>Root</x:v>
      </x:c>
      <x:c r="G84" s="51" t="str">
        <x:v>Flower</x:v>
      </x:c>
      <x:c r="H84" s="51" t="str">
        <x:v>Mineral / Salt / Ash</x:v>
      </x:c>
      <x:c r="I84" s="51" t="str">
        <x:v>Stunning, Nerve, Lightning, Thunder</x:v>
      </x:c>
      <x:c r="J84" s="51" t="str">
        <x:v>1 hour</x:v>
      </x:c>
      <x:c r="K84" s="51" t="str">
        <x:v>Immediately ends the Stunned condition if present and grants immunity to Stunned for 1 hour.</x:v>
      </x:c>
      <x:c r="L84" s="51" t="str"/>
      <x:c r="M84" s="51" t="str"/>
      <x:c r="N84" s="39" t="str">
        <x:v>Bonus Action to use or apply</x:v>
      </x:c>
    </x:row>
    <x:row r="85">
      <x:c r="A85" s="38" t="str">
        <x:v>Elixirs</x:v>
      </x:c>
      <x:c r="B85" s="51" t="str">
        <x:v>Resistance Elixirs</x:v>
      </x:c>
      <x:c r="C85" s="51" t="str">
        <x:v>Elixir of Acid Resistance</x:v>
      </x:c>
      <x:c r="D85" s="51" t="str">
        <x:v>Uncommon</x:v>
      </x:c>
      <x:c r="E85" s="51" t="n">
        <x:v>22</x:v>
      </x:c>
      <x:c r="F85" s="51" t="str">
        <x:v>Moss / Lichen</x:v>
      </x:c>
      <x:c r="G85" s="51" t="str">
        <x:v>Root</x:v>
      </x:c>
      <x:c r="H85" s="51" t="str">
        <x:v>Mineral / Salt / Ash</x:v>
      </x:c>
      <x:c r="I85" s="51" t="str">
        <x:v>Acid</x:v>
      </x:c>
      <x:c r="J85" s="51" t="str">
        <x:v>1 hour</x:v>
      </x:c>
      <x:c r="K85" s="51" t="str">
        <x:v>The drinker gains resistance to acid damage for 1 hour.</x:v>
      </x:c>
      <x:c r="L85" s="51" t="str"/>
      <x:c r="M85" s="51" t="str"/>
      <x:c r="N85" s="39" t="str">
        <x:v>Bonus Action to use or apply</x:v>
      </x:c>
    </x:row>
    <x:row r="86">
      <x:c r="A86" s="38" t="str">
        <x:v>Elixirs</x:v>
      </x:c>
      <x:c r="B86" s="51" t="str">
        <x:v>Resistance Elixirs</x:v>
      </x:c>
      <x:c r="C86" s="51" t="str">
        <x:v>Elixir of Cold Resistance</x:v>
      </x:c>
      <x:c r="D86" s="51" t="str">
        <x:v>Uncommon</x:v>
      </x:c>
      <x:c r="E86" s="51" t="n">
        <x:v>22</x:v>
      </x:c>
      <x:c r="F86" s="51" t="str">
        <x:v>Moss / Lichen</x:v>
      </x:c>
      <x:c r="G86" s="51" t="str">
        <x:v>Root</x:v>
      </x:c>
      <x:c r="H86" s="51" t="str">
        <x:v>Mineral / Salt / Ash</x:v>
      </x:c>
      <x:c r="I86" s="51" t="str">
        <x:v>Cold</x:v>
      </x:c>
      <x:c r="J86" s="51" t="str">
        <x:v>1 hour</x:v>
      </x:c>
      <x:c r="K86" s="51" t="str">
        <x:v>The drinker gains resistance to cold damage for 1 hour.</x:v>
      </x:c>
      <x:c r="L86" s="51" t="str"/>
      <x:c r="M86" s="51" t="str"/>
      <x:c r="N86" s="39" t="str">
        <x:v>Bonus Action to use or apply</x:v>
      </x:c>
    </x:row>
    <x:row r="87">
      <x:c r="A87" s="38" t="str">
        <x:v>Elixirs</x:v>
      </x:c>
      <x:c r="B87" s="51" t="str">
        <x:v>Resistance Elixirs</x:v>
      </x:c>
      <x:c r="C87" s="51" t="str">
        <x:v>Elixir of Fire Resistance</x:v>
      </x:c>
      <x:c r="D87" s="51" t="str">
        <x:v>Uncommon</x:v>
      </x:c>
      <x:c r="E87" s="51" t="n">
        <x:v>22</x:v>
      </x:c>
      <x:c r="F87" s="51" t="str">
        <x:v>Moss / Lichen</x:v>
      </x:c>
      <x:c r="G87" s="51" t="str">
        <x:v>Root</x:v>
      </x:c>
      <x:c r="H87" s="51" t="str">
        <x:v>Mineral / Salt / Ash</x:v>
      </x:c>
      <x:c r="I87" s="51" t="str">
        <x:v>Fire</x:v>
      </x:c>
      <x:c r="J87" s="51" t="str">
        <x:v>1 hour</x:v>
      </x:c>
      <x:c r="K87" s="51" t="str">
        <x:v>The drinker gains resistance to fire damage for 1 hour.</x:v>
      </x:c>
      <x:c r="L87" s="51" t="str"/>
      <x:c r="M87" s="51" t="str"/>
      <x:c r="N87" s="39" t="str">
        <x:v>Bonus Action to use or apply</x:v>
      </x:c>
    </x:row>
    <x:row r="88">
      <x:c r="A88" s="38" t="str">
        <x:v>Elixirs</x:v>
      </x:c>
      <x:c r="B88" s="51" t="str">
        <x:v>Resistance Elixirs</x:v>
      </x:c>
      <x:c r="C88" s="51" t="str">
        <x:v>Elixir of Force Resistance</x:v>
      </x:c>
      <x:c r="D88" s="51" t="str">
        <x:v>Uncommon</x:v>
      </x:c>
      <x:c r="E88" s="51" t="n">
        <x:v>22</x:v>
      </x:c>
      <x:c r="F88" s="51" t="str">
        <x:v>Moss / Lichen</x:v>
      </x:c>
      <x:c r="G88" s="51" t="str">
        <x:v>Root</x:v>
      </x:c>
      <x:c r="H88" s="51" t="str">
        <x:v>Mineral / Salt / Ash</x:v>
      </x:c>
      <x:c r="I88" s="51" t="str">
        <x:v>Force</x:v>
      </x:c>
      <x:c r="J88" s="51" t="str">
        <x:v>1 hour</x:v>
      </x:c>
      <x:c r="K88" s="51" t="str">
        <x:v>The drinker gains resistance to force damage for 1 hour.</x:v>
      </x:c>
      <x:c r="L88" s="51" t="str"/>
      <x:c r="M88" s="51" t="str"/>
      <x:c r="N88" s="39" t="str">
        <x:v>Bonus Action to use or apply</x:v>
      </x:c>
    </x:row>
    <x:row r="89">
      <x:c r="A89" s="38" t="str">
        <x:v>Elixirs</x:v>
      </x:c>
      <x:c r="B89" s="51" t="str">
        <x:v>Resistance Elixirs</x:v>
      </x:c>
      <x:c r="C89" s="51" t="str">
        <x:v>Elixir of Lightning Resistance</x:v>
      </x:c>
      <x:c r="D89" s="51" t="str">
        <x:v>Uncommon</x:v>
      </x:c>
      <x:c r="E89" s="51" t="n">
        <x:v>22</x:v>
      </x:c>
      <x:c r="F89" s="51" t="str">
        <x:v>Moss / Lichen</x:v>
      </x:c>
      <x:c r="G89" s="51" t="str">
        <x:v>Root</x:v>
      </x:c>
      <x:c r="H89" s="51" t="str">
        <x:v>Mineral / Salt / Ash</x:v>
      </x:c>
      <x:c r="I89" s="51" t="str">
        <x:v>Lightning</x:v>
      </x:c>
      <x:c r="J89" s="51" t="str">
        <x:v>1 hour</x:v>
      </x:c>
      <x:c r="K89" s="51" t="str">
        <x:v>The drinker gains resistance to lightning damage for 1 hour.</x:v>
      </x:c>
      <x:c r="L89" s="51" t="str"/>
      <x:c r="M89" s="51" t="str"/>
      <x:c r="N89" s="39" t="str">
        <x:v>Bonus Action to use or apply</x:v>
      </x:c>
    </x:row>
    <x:row r="90">
      <x:c r="A90" s="38" t="str">
        <x:v>Elixirs</x:v>
      </x:c>
      <x:c r="B90" s="51" t="str">
        <x:v>Resistance Elixirs</x:v>
      </x:c>
      <x:c r="C90" s="51" t="str">
        <x:v>Elixir of Necrotic Resistance</x:v>
      </x:c>
      <x:c r="D90" s="51" t="str">
        <x:v>Uncommon</x:v>
      </x:c>
      <x:c r="E90" s="51" t="n">
        <x:v>22</x:v>
      </x:c>
      <x:c r="F90" s="51" t="str">
        <x:v>Moss / Lichen</x:v>
      </x:c>
      <x:c r="G90" s="51" t="str">
        <x:v>Root</x:v>
      </x:c>
      <x:c r="H90" s="51" t="str">
        <x:v>Mineral / Salt / Ash</x:v>
      </x:c>
      <x:c r="I90" s="51" t="str">
        <x:v>Necrotic</x:v>
      </x:c>
      <x:c r="J90" s="51" t="str">
        <x:v>1 hour</x:v>
      </x:c>
      <x:c r="K90" s="51" t="str">
        <x:v>The drinker gains resistance to necrotic damage for 1 hour.</x:v>
      </x:c>
      <x:c r="L90" s="51" t="str"/>
      <x:c r="M90" s="51" t="str"/>
      <x:c r="N90" s="39" t="str">
        <x:v>Bonus Action to use or apply</x:v>
      </x:c>
    </x:row>
    <x:row r="91">
      <x:c r="A91" s="38" t="str">
        <x:v>Elixirs</x:v>
      </x:c>
      <x:c r="B91" s="51" t="str">
        <x:v>Resistance Elixirs</x:v>
      </x:c>
      <x:c r="C91" s="51" t="str">
        <x:v>Elixir of Poison Resistance</x:v>
      </x:c>
      <x:c r="D91" s="51" t="str">
        <x:v>Uncommon</x:v>
      </x:c>
      <x:c r="E91" s="51" t="n">
        <x:v>22</x:v>
      </x:c>
      <x:c r="F91" s="51" t="str">
        <x:v>Moss / Lichen</x:v>
      </x:c>
      <x:c r="G91" s="51" t="str">
        <x:v>Root</x:v>
      </x:c>
      <x:c r="H91" s="51" t="str">
        <x:v>Mineral / Salt / Ash</x:v>
      </x:c>
      <x:c r="I91" s="51" t="str">
        <x:v>Poison</x:v>
      </x:c>
      <x:c r="J91" s="51" t="str">
        <x:v>1 hour</x:v>
      </x:c>
      <x:c r="K91" s="51" t="str">
        <x:v>The drinker gains resistance to poison damage for 1 hour.</x:v>
      </x:c>
      <x:c r="L91" s="51" t="str"/>
      <x:c r="M91" s="51" t="str"/>
      <x:c r="N91" s="39" t="str">
        <x:v>Bonus Action to use or apply</x:v>
      </x:c>
    </x:row>
    <x:row r="92">
      <x:c r="A92" s="38" t="str">
        <x:v>Elixirs</x:v>
      </x:c>
      <x:c r="B92" s="51" t="str">
        <x:v>Resistance Elixirs</x:v>
      </x:c>
      <x:c r="C92" s="51" t="str">
        <x:v>Elixir of Psychic Resistance</x:v>
      </x:c>
      <x:c r="D92" s="51" t="str">
        <x:v>Uncommon</x:v>
      </x:c>
      <x:c r="E92" s="51" t="n">
        <x:v>22</x:v>
      </x:c>
      <x:c r="F92" s="51" t="str">
        <x:v>Moss / Lichen</x:v>
      </x:c>
      <x:c r="G92" s="51" t="str">
        <x:v>Root</x:v>
      </x:c>
      <x:c r="H92" s="51" t="str">
        <x:v>Mineral / Salt / Ash</x:v>
      </x:c>
      <x:c r="I92" s="51" t="str">
        <x:v>Psychic</x:v>
      </x:c>
      <x:c r="J92" s="51" t="str">
        <x:v>1 hour</x:v>
      </x:c>
      <x:c r="K92" s="51" t="str">
        <x:v>The drinker gains resistance to psychic damage for 1 hour.</x:v>
      </x:c>
      <x:c r="L92" s="51" t="str"/>
      <x:c r="M92" s="51" t="str"/>
      <x:c r="N92" s="39" t="str">
        <x:v>Bonus Action to use or apply</x:v>
      </x:c>
    </x:row>
    <x:row r="93">
      <x:c r="A93" s="38" t="str">
        <x:v>Elixirs</x:v>
      </x:c>
      <x:c r="B93" s="51" t="str">
        <x:v>Resistance Elixirs</x:v>
      </x:c>
      <x:c r="C93" s="51" t="str">
        <x:v>Elixir of Radiant Resistance</x:v>
      </x:c>
      <x:c r="D93" s="51" t="str">
        <x:v>Uncommon</x:v>
      </x:c>
      <x:c r="E93" s="51" t="n">
        <x:v>22</x:v>
      </x:c>
      <x:c r="F93" s="51" t="str">
        <x:v>Moss / Lichen</x:v>
      </x:c>
      <x:c r="G93" s="51" t="str">
        <x:v>Root</x:v>
      </x:c>
      <x:c r="H93" s="51" t="str">
        <x:v>Mineral / Salt / Ash</x:v>
      </x:c>
      <x:c r="I93" s="51" t="str">
        <x:v>Radiant</x:v>
      </x:c>
      <x:c r="J93" s="51" t="str">
        <x:v>1 hour</x:v>
      </x:c>
      <x:c r="K93" s="51" t="str">
        <x:v>The drinker gains resistance to radiant damage for 1 hour.</x:v>
      </x:c>
      <x:c r="L93" s="51" t="str"/>
      <x:c r="M93" s="51" t="str"/>
      <x:c r="N93" s="39" t="str">
        <x:v>Bonus Action to use or apply</x:v>
      </x:c>
    </x:row>
    <x:row r="94">
      <x:c r="A94" s="38" t="str">
        <x:v>Elixirs</x:v>
      </x:c>
      <x:c r="B94" s="51" t="str">
        <x:v>Resistance Elixirs</x:v>
      </x:c>
      <x:c r="C94" s="51" t="str">
        <x:v>Elixir of Thunder Resistance</x:v>
      </x:c>
      <x:c r="D94" s="51" t="str">
        <x:v>Uncommon</x:v>
      </x:c>
      <x:c r="E94" s="51" t="n">
        <x:v>22</x:v>
      </x:c>
      <x:c r="F94" s="51" t="str">
        <x:v>Moss / Lichen</x:v>
      </x:c>
      <x:c r="G94" s="51" t="str">
        <x:v>Root</x:v>
      </x:c>
      <x:c r="H94" s="51" t="str">
        <x:v>Mineral / Salt / Ash</x:v>
      </x:c>
      <x:c r="I94" s="51" t="str">
        <x:v>Thunder</x:v>
      </x:c>
      <x:c r="J94" s="51" t="str">
        <x:v>1 hour</x:v>
      </x:c>
      <x:c r="K94" s="51" t="str">
        <x:v>The drinker gains resistance to thunder damage for 1 hour.</x:v>
      </x:c>
      <x:c r="L94" s="51" t="str"/>
      <x:c r="M94" s="51" t="str"/>
      <x:c r="N94" s="39" t="str">
        <x:v>Bonus Action to use or apply</x:v>
      </x:c>
    </x:row>
    <x:row r="95">
      <x:c r="A95" s="38" t="str">
        <x:v>Oils</x:v>
      </x:c>
      <x:c r="B95" s="51" t="str">
        <x:v>Condition Oils</x:v>
      </x:c>
      <x:c r="C95" s="51" t="str">
        <x:v>Oil of Blindness</x:v>
      </x:c>
      <x:c r="D95" s="51" t="str">
        <x:v>Uncommon</x:v>
      </x:c>
      <x:c r="E95" s="51" t="n">
        <x:v>22</x:v>
      </x:c>
      <x:c r="F95" s="51" t="str">
        <x:v>Sap / Resin</x:v>
      </x:c>
      <x:c r="G95" s="51" t="str">
        <x:v>Venom / Poison Plant</x:v>
      </x:c>
      <x:c r="H95" s="51" t="str">
        <x:v>Mineral / Salt / Ash</x:v>
      </x:c>
      <x:c r="I95" s="51" t="str">
        <x:v>Blindness, Sight</x:v>
      </x:c>
      <x:c r="J95" s="51" t="str">
        <x:v>1 hour</x:v>
      </x:c>
      <x:c r="K95" s="51" t="str">
        <x:v>Coat one weapon or up to 20 pieces of ammunition. The next successful hit within 1 hour forces a Constitution saving throw; on a failed save, the target is Blinded for 1 minute.</x:v>
      </x:c>
      <x:c r="L95" s="51" t="str"/>
      <x:c r="M95" s="51" t="str"/>
      <x:c r="N95" s="39" t="str">
        <x:v>Bonus Action to use or apply</x:v>
      </x:c>
    </x:row>
    <x:row r="96">
      <x:c r="A96" s="38" t="str">
        <x:v>Oils</x:v>
      </x:c>
      <x:c r="B96" s="51" t="str">
        <x:v>Condition Oils</x:v>
      </x:c>
      <x:c r="C96" s="51" t="str">
        <x:v>Oil of Charm</x:v>
      </x:c>
      <x:c r="D96" s="51" t="str">
        <x:v>Rare</x:v>
      </x:c>
      <x:c r="E96" s="51" t="n">
        <x:v>28</x:v>
      </x:c>
      <x:c r="F96" s="51" t="str">
        <x:v>Sap / Resin</x:v>
      </x:c>
      <x:c r="G96" s="51" t="str">
        <x:v>Venom / Poison Plant</x:v>
      </x:c>
      <x:c r="H96" s="51" t="str">
        <x:v>Mineral / Salt / Ash</x:v>
      </x:c>
      <x:c r="I96" s="51" t="str">
        <x:v>Charm, Mind, Psychic, Fey</x:v>
      </x:c>
      <x:c r="J96" s="51" t="str">
        <x:v>1 hour</x:v>
      </x:c>
      <x:c r="K96" s="51" t="str">
        <x:v>Coat one weapon or up to 20 pieces of ammunition. The next successful hit within 1 hour forces a Wisdom saving throw; on a failed save, the target is Charmed for 1 minute.</x:v>
      </x:c>
      <x:c r="L96" s="51" t="str"/>
      <x:c r="M96" s="51" t="str"/>
      <x:c r="N96" s="39" t="str">
        <x:v>Bonus Action to use or apply</x:v>
      </x:c>
    </x:row>
    <x:row r="97">
      <x:c r="A97" s="38" t="str">
        <x:v>Oils</x:v>
      </x:c>
      <x:c r="B97" s="51" t="str">
        <x:v>Condition Oils</x:v>
      </x:c>
      <x:c r="C97" s="51" t="str">
        <x:v>Oil of Confusion</x:v>
      </x:c>
      <x:c r="D97" s="51" t="str">
        <x:v>Rare</x:v>
      </x:c>
      <x:c r="E97" s="51" t="n">
        <x:v>28</x:v>
      </x:c>
      <x:c r="F97" s="51" t="str">
        <x:v>Sap / Resin</x:v>
      </x:c>
      <x:c r="G97" s="51" t="str">
        <x:v>Venom / Poison Plant</x:v>
      </x:c>
      <x:c r="H97" s="51" t="str">
        <x:v>Mineral / Salt / Ash</x:v>
      </x:c>
      <x:c r="I97" s="51" t="str">
        <x:v>Confusion, Mind, Psychic</x:v>
      </x:c>
      <x:c r="J97" s="51" t="str">
        <x:v>1 hour</x:v>
      </x:c>
      <x:c r="K97" s="51" t="str">
        <x:v>Coat one weapon or up to 20 pieces of ammunition. The next successful hit within 1 hour forces a Wisdom saving throw; on a failed save, the target is Confused for 1 minute.</x:v>
      </x:c>
      <x:c r="L97" s="51" t="str"/>
      <x:c r="M97" s="51" t="str"/>
      <x:c r="N97" s="39" t="str">
        <x:v>Bonus Action to use or apply</x:v>
      </x:c>
    </x:row>
    <x:row r="98">
      <x:c r="A98" s="38" t="str">
        <x:v>Oils</x:v>
      </x:c>
      <x:c r="B98" s="51" t="str">
        <x:v>Condition Oils</x:v>
      </x:c>
      <x:c r="C98" s="51" t="str">
        <x:v>Oil of Deafness</x:v>
      </x:c>
      <x:c r="D98" s="51" t="str">
        <x:v>Uncommon</x:v>
      </x:c>
      <x:c r="E98" s="51" t="n">
        <x:v>22</x:v>
      </x:c>
      <x:c r="F98" s="51" t="str">
        <x:v>Sap / Resin</x:v>
      </x:c>
      <x:c r="G98" s="51" t="str">
        <x:v>Venom / Poison Plant</x:v>
      </x:c>
      <x:c r="H98" s="51" t="str">
        <x:v>Mineral / Salt / Ash</x:v>
      </x:c>
      <x:c r="I98" s="51" t="str">
        <x:v>Deafness, Sound, Thunder</x:v>
      </x:c>
      <x:c r="J98" s="51" t="str">
        <x:v>1 hour</x:v>
      </x:c>
      <x:c r="K98" s="51" t="str">
        <x:v>Coat one weapon or up to 20 pieces of ammunition. The next successful hit within 1 hour forces a Constitution saving throw; on a failed save, the target is Deafened for 1 minute.</x:v>
      </x:c>
      <x:c r="L98" s="51" t="str"/>
      <x:c r="M98" s="51" t="str"/>
      <x:c r="N98" s="39" t="str">
        <x:v>Bonus Action to use or apply</x:v>
      </x:c>
    </x:row>
    <x:row r="99">
      <x:c r="A99" s="38" t="str">
        <x:v>Oils</x:v>
      </x:c>
      <x:c r="B99" s="51" t="str">
        <x:v>Condition Oils</x:v>
      </x:c>
      <x:c r="C99" s="51" t="str">
        <x:v>Oil of Fear</x:v>
      </x:c>
      <x:c r="D99" s="51" t="str">
        <x:v>Rare</x:v>
      </x:c>
      <x:c r="E99" s="51" t="n">
        <x:v>28</x:v>
      </x:c>
      <x:c r="F99" s="51" t="str">
        <x:v>Sap / Resin</x:v>
      </x:c>
      <x:c r="G99" s="51" t="str">
        <x:v>Venom / Poison Plant</x:v>
      </x:c>
      <x:c r="H99" s="51" t="str">
        <x:v>Mineral / Salt / Ash</x:v>
      </x:c>
      <x:c r="I99" s="51" t="str">
        <x:v>Fear, Mind, Psychic</x:v>
      </x:c>
      <x:c r="J99" s="51" t="str">
        <x:v>1 hour</x:v>
      </x:c>
      <x:c r="K99" s="51" t="str">
        <x:v>Coat one weapon or up to 20 pieces of ammunition. The next successful hit within 1 hour forces a Wisdom saving throw; on a failed save, the target is Frightened for 1 minute.</x:v>
      </x:c>
      <x:c r="L99" s="51" t="str"/>
      <x:c r="M99" s="51" t="str"/>
      <x:c r="N99" s="39" t="str">
        <x:v>Bonus Action to use or apply</x:v>
      </x:c>
    </x:row>
    <x:row r="100">
      <x:c r="A100" s="38" t="str">
        <x:v>Oils</x:v>
      </x:c>
      <x:c r="B100" s="51" t="str">
        <x:v>Condition Oils</x:v>
      </x:c>
      <x:c r="C100" s="51" t="str">
        <x:v>Oil of Paralysis</x:v>
      </x:c>
      <x:c r="D100" s="51" t="str">
        <x:v>Rare</x:v>
      </x:c>
      <x:c r="E100" s="51" t="n">
        <x:v>28</x:v>
      </x:c>
      <x:c r="F100" s="51" t="str">
        <x:v>Sap / Resin</x:v>
      </x:c>
      <x:c r="G100" s="51" t="str">
        <x:v>Venom / Poison Plant</x:v>
      </x:c>
      <x:c r="H100" s="51" t="str">
        <x:v>Mineral / Salt / Ash</x:v>
      </x:c>
      <x:c r="I100" s="51" t="str">
        <x:v>Paralysis, Nerve</x:v>
      </x:c>
      <x:c r="J100" s="51" t="str">
        <x:v>1 hour</x:v>
      </x:c>
      <x:c r="K100" s="51" t="str">
        <x:v>Coat one weapon or up to 20 pieces of ammunition. The next successful hit within 1 hour forces a Constitution saving throw; on a failed save, the target is Paralyzed for 1 minute.</x:v>
      </x:c>
      <x:c r="L100" s="51" t="str"/>
      <x:c r="M100" s="51" t="str"/>
      <x:c r="N100" s="39" t="str">
        <x:v>Bonus Action to use or apply</x:v>
      </x:c>
    </x:row>
    <x:row r="101">
      <x:c r="A101" s="38" t="str">
        <x:v>Oils</x:v>
      </x:c>
      <x:c r="B101" s="51" t="str">
        <x:v>Condition Oils</x:v>
      </x:c>
      <x:c r="C101" s="51" t="str">
        <x:v>Oil of Petrification</x:v>
      </x:c>
      <x:c r="D101" s="51" t="str">
        <x:v>Very Rare</x:v>
      </x:c>
      <x:c r="E101" s="51" t="n">
        <x:v>34</x:v>
      </x:c>
      <x:c r="F101" s="51" t="str">
        <x:v>Sap / Resin</x:v>
      </x:c>
      <x:c r="G101" s="51" t="str">
        <x:v>Venom / Poison Plant</x:v>
      </x:c>
      <x:c r="H101" s="51" t="str">
        <x:v>Mineral / Salt / Ash</x:v>
      </x:c>
      <x:c r="I101" s="51" t="str">
        <x:v>Petrification, Stone</x:v>
      </x:c>
      <x:c r="J101" s="51" t="str">
        <x:v>1 hour</x:v>
      </x:c>
      <x:c r="K101" s="51" t="str">
        <x:v>Coat one weapon or up to 20 pieces of ammunition. The next successful hit within 1 hour forces a Constitution saving throw; on a failed save, the target is Petrified for 1 minute.</x:v>
      </x:c>
      <x:c r="L101" s="51" t="str"/>
      <x:c r="M101" s="51" t="str"/>
      <x:c r="N101" s="39" t="str">
        <x:v>Bonus Action to use or apply</x:v>
      </x:c>
    </x:row>
    <x:row r="102">
      <x:c r="A102" s="38" t="str">
        <x:v>Oils</x:v>
      </x:c>
      <x:c r="B102" s="51" t="str">
        <x:v>Condition Oils</x:v>
      </x:c>
      <x:c r="C102" s="51" t="str">
        <x:v>Oil of Poisoning</x:v>
      </x:c>
      <x:c r="D102" s="51" t="str">
        <x:v>Uncommon</x:v>
      </x:c>
      <x:c r="E102" s="51" t="n">
        <x:v>22</x:v>
      </x:c>
      <x:c r="F102" s="51" t="str">
        <x:v>Sap / Resin</x:v>
      </x:c>
      <x:c r="G102" s="51" t="str">
        <x:v>Venom / Poison Plant</x:v>
      </x:c>
      <x:c r="H102" s="51" t="str">
        <x:v>Mineral / Salt / Ash</x:v>
      </x:c>
      <x:c r="I102" s="51" t="str">
        <x:v>Poison, Venom</x:v>
      </x:c>
      <x:c r="J102" s="51" t="str">
        <x:v>1 hour</x:v>
      </x:c>
      <x:c r="K102" s="51" t="str">
        <x:v>Coat one weapon or up to 20 pieces of ammunition. The next successful hit within 1 hour forces a Constitution saving throw; on a failed save, the target is Poisoned for 1 minute.</x:v>
      </x:c>
      <x:c r="L102" s="51" t="str"/>
      <x:c r="M102" s="51" t="str"/>
      <x:c r="N102" s="39" t="str">
        <x:v>Bonus Action to use or apply</x:v>
      </x:c>
    </x:row>
    <x:row r="103">
      <x:c r="A103" s="38" t="str">
        <x:v>Oils</x:v>
      </x:c>
      <x:c r="B103" s="51" t="str">
        <x:v>Condition Oils</x:v>
      </x:c>
      <x:c r="C103" s="51" t="str">
        <x:v>Oil of Restraint</x:v>
      </x:c>
      <x:c r="D103" s="51" t="str">
        <x:v>Rare</x:v>
      </x:c>
      <x:c r="E103" s="51" t="n">
        <x:v>28</x:v>
      </x:c>
      <x:c r="F103" s="51" t="str">
        <x:v>Sap / Resin</x:v>
      </x:c>
      <x:c r="G103" s="51" t="str">
        <x:v>Venom / Poison Plant</x:v>
      </x:c>
      <x:c r="H103" s="51" t="str">
        <x:v>Mineral / Salt / Ash</x:v>
      </x:c>
      <x:c r="I103" s="51" t="str">
        <x:v>Restraint, Binding</x:v>
      </x:c>
      <x:c r="J103" s="51" t="str">
        <x:v>1 hour</x:v>
      </x:c>
      <x:c r="K103" s="51" t="str">
        <x:v>Coat one weapon or up to 20 pieces of ammunition. The next successful hit within 1 hour forces a Dexterity saving throw; on a failed save, the target is Restrained for 1 minute.</x:v>
      </x:c>
      <x:c r="L103" s="51" t="str"/>
      <x:c r="M103" s="51" t="str"/>
      <x:c r="N103" s="39" t="str">
        <x:v>Bonus Action to use or apply</x:v>
      </x:c>
    </x:row>
    <x:row r="104">
      <x:c r="A104" s="38" t="str">
        <x:v>Oils</x:v>
      </x:c>
      <x:c r="B104" s="51" t="str">
        <x:v>Condition Oils</x:v>
      </x:c>
      <x:c r="C104" s="51" t="str">
        <x:v>Oil of Stunning</x:v>
      </x:c>
      <x:c r="D104" s="51" t="str">
        <x:v>Rare</x:v>
      </x:c>
      <x:c r="E104" s="51" t="n">
        <x:v>28</x:v>
      </x:c>
      <x:c r="F104" s="51" t="str">
        <x:v>Sap / Resin</x:v>
      </x:c>
      <x:c r="G104" s="51" t="str">
        <x:v>Venom / Poison Plant</x:v>
      </x:c>
      <x:c r="H104" s="51" t="str">
        <x:v>Mineral / Salt / Ash</x:v>
      </x:c>
      <x:c r="I104" s="51" t="str">
        <x:v>Stunning, Nerve, Lightning, Thunder</x:v>
      </x:c>
      <x:c r="J104" s="51" t="str">
        <x:v>1 hour</x:v>
      </x:c>
      <x:c r="K104" s="51" t="str">
        <x:v>Coat one weapon or up to 20 pieces of ammunition. The next successful hit within 1 hour forces a Constitution saving throw; on a failed save, the target is Stunned for Until the end of the target's next turn.</x:v>
      </x:c>
      <x:c r="L104" s="51" t="str"/>
      <x:c r="M104" s="51" t="str"/>
      <x:c r="N104" s="39" t="str">
        <x:v>Bonus Action to use or apply</x:v>
      </x:c>
    </x:row>
    <x:row r="105">
      <x:c r="A105" s="38" t="str">
        <x:v>Oils</x:v>
      </x:c>
      <x:c r="B105" s="51" t="str">
        <x:v>Elemental Oils</x:v>
      </x:c>
      <x:c r="C105" s="51" t="str">
        <x:v>Oil of Acid</x:v>
      </x:c>
      <x:c r="D105" s="51" t="str">
        <x:v>Uncommon</x:v>
      </x:c>
      <x:c r="E105" s="51" t="n">
        <x:v>22</x:v>
      </x:c>
      <x:c r="F105" s="51" t="str">
        <x:v>Sap / Resin</x:v>
      </x:c>
      <x:c r="G105" s="51" t="str">
        <x:v>Mineral / Salt / Ash</x:v>
      </x:c>
      <x:c r="H105" s="51" t="str">
        <x:v>Thorn / Bark / Wood</x:v>
      </x:c>
      <x:c r="I105" s="51" t="str">
        <x:v>Acid</x:v>
      </x:c>
      <x:c r="J105" s="51" t="str">
        <x:v>1 hour</x:v>
      </x:c>
      <x:c r="K105" s="51" t="str">
        <x:v>Coat one weapon or up to 20 pieces of ammunition. For 1 hour, a hit deals an extra 1d4 acid damage.</x:v>
      </x:c>
      <x:c r="L105" s="51" t="str"/>
      <x:c r="M105" s="51" t="str"/>
      <x:c r="N105" s="39" t="str">
        <x:v>Bonus Action to use or apply</x:v>
      </x:c>
    </x:row>
    <x:row r="106">
      <x:c r="A106" s="38" t="str">
        <x:v>Oils</x:v>
      </x:c>
      <x:c r="B106" s="51" t="str">
        <x:v>Elemental Oils</x:v>
      </x:c>
      <x:c r="C106" s="51" t="str">
        <x:v>Oil of Cold</x:v>
      </x:c>
      <x:c r="D106" s="51" t="str">
        <x:v>Uncommon</x:v>
      </x:c>
      <x:c r="E106" s="51" t="n">
        <x:v>22</x:v>
      </x:c>
      <x:c r="F106" s="51" t="str">
        <x:v>Sap / Resin</x:v>
      </x:c>
      <x:c r="G106" s="51" t="str">
        <x:v>Mineral / Salt / Ash</x:v>
      </x:c>
      <x:c r="H106" s="51" t="str">
        <x:v>Thorn / Bark / Wood</x:v>
      </x:c>
      <x:c r="I106" s="51" t="str">
        <x:v>Cold</x:v>
      </x:c>
      <x:c r="J106" s="51" t="str">
        <x:v>1 hour</x:v>
      </x:c>
      <x:c r="K106" s="51" t="str">
        <x:v>Coat one weapon or up to 20 pieces of ammunition. For 1 hour, a hit deals an extra 1d4 cold damage.</x:v>
      </x:c>
      <x:c r="L106" s="51" t="str"/>
      <x:c r="M106" s="51" t="str"/>
      <x:c r="N106" s="39" t="str">
        <x:v>Bonus Action to use or apply</x:v>
      </x:c>
    </x:row>
    <x:row r="107">
      <x:c r="A107" s="38" t="str">
        <x:v>Oils</x:v>
      </x:c>
      <x:c r="B107" s="51" t="str">
        <x:v>Elemental Oils</x:v>
      </x:c>
      <x:c r="C107" s="51" t="str">
        <x:v>Oil of Fire</x:v>
      </x:c>
      <x:c r="D107" s="51" t="str">
        <x:v>Uncommon</x:v>
      </x:c>
      <x:c r="E107" s="51" t="n">
        <x:v>22</x:v>
      </x:c>
      <x:c r="F107" s="51" t="str">
        <x:v>Sap / Resin</x:v>
      </x:c>
      <x:c r="G107" s="51" t="str">
        <x:v>Mineral / Salt / Ash</x:v>
      </x:c>
      <x:c r="H107" s="51" t="str">
        <x:v>Thorn / Bark / Wood</x:v>
      </x:c>
      <x:c r="I107" s="51" t="str">
        <x:v>Fire</x:v>
      </x:c>
      <x:c r="J107" s="51" t="str">
        <x:v>1 hour</x:v>
      </x:c>
      <x:c r="K107" s="51" t="str">
        <x:v>Coat one weapon or up to 20 pieces of ammunition. For 1 hour, a hit deals an extra 1d4 fire damage.</x:v>
      </x:c>
      <x:c r="L107" s="51" t="str"/>
      <x:c r="M107" s="51" t="str"/>
      <x:c r="N107" s="39" t="str">
        <x:v>Bonus Action to use or apply</x:v>
      </x:c>
    </x:row>
    <x:row r="108">
      <x:c r="A108" s="38" t="str">
        <x:v>Oils</x:v>
      </x:c>
      <x:c r="B108" s="51" t="str">
        <x:v>Elemental Oils</x:v>
      </x:c>
      <x:c r="C108" s="51" t="str">
        <x:v>Oil of Force</x:v>
      </x:c>
      <x:c r="D108" s="51" t="str">
        <x:v>Rare</x:v>
      </x:c>
      <x:c r="E108" s="51" t="n">
        <x:v>28</x:v>
      </x:c>
      <x:c r="F108" s="51" t="str">
        <x:v>Sap / Resin</x:v>
      </x:c>
      <x:c r="G108" s="51" t="str">
        <x:v>Mineral / Salt / Ash</x:v>
      </x:c>
      <x:c r="H108" s="51" t="str">
        <x:v>Thorn / Bark / Wood</x:v>
      </x:c>
      <x:c r="I108" s="51" t="str">
        <x:v>Force</x:v>
      </x:c>
      <x:c r="J108" s="51" t="str">
        <x:v>1 hour</x:v>
      </x:c>
      <x:c r="K108" s="51" t="str">
        <x:v>Coat one weapon or up to 20 pieces of ammunition. For 1 hour, a hit deals an extra 1d6 force damage.</x:v>
      </x:c>
      <x:c r="L108" s="51" t="str"/>
      <x:c r="M108" s="51" t="str"/>
      <x:c r="N108" s="39" t="str">
        <x:v>Bonus Action to use or apply</x:v>
      </x:c>
    </x:row>
    <x:row r="109">
      <x:c r="A109" s="38" t="str">
        <x:v>Oils</x:v>
      </x:c>
      <x:c r="B109" s="51" t="str">
        <x:v>Elemental Oils</x:v>
      </x:c>
      <x:c r="C109" s="51" t="str">
        <x:v>Oil of Lightning</x:v>
      </x:c>
      <x:c r="D109" s="51" t="str">
        <x:v>Uncommon</x:v>
      </x:c>
      <x:c r="E109" s="51" t="n">
        <x:v>22</x:v>
      </x:c>
      <x:c r="F109" s="51" t="str">
        <x:v>Sap / Resin</x:v>
      </x:c>
      <x:c r="G109" s="51" t="str">
        <x:v>Mineral / Salt / Ash</x:v>
      </x:c>
      <x:c r="H109" s="51" t="str">
        <x:v>Thorn / Bark / Wood</x:v>
      </x:c>
      <x:c r="I109" s="51" t="str">
        <x:v>Lightning</x:v>
      </x:c>
      <x:c r="J109" s="51" t="str">
        <x:v>1 hour</x:v>
      </x:c>
      <x:c r="K109" s="51" t="str">
        <x:v>Coat one weapon or up to 20 pieces of ammunition. For 1 hour, a hit deals an extra 1d4 lightning damage.</x:v>
      </x:c>
      <x:c r="L109" s="51" t="str"/>
      <x:c r="M109" s="51" t="str"/>
      <x:c r="N109" s="39" t="str">
        <x:v>Bonus Action to use or apply</x:v>
      </x:c>
    </x:row>
    <x:row r="110">
      <x:c r="A110" s="38" t="str">
        <x:v>Oils</x:v>
      </x:c>
      <x:c r="B110" s="51" t="str">
        <x:v>Elemental Oils</x:v>
      </x:c>
      <x:c r="C110" s="51" t="str">
        <x:v>Oil of Necrotic</x:v>
      </x:c>
      <x:c r="D110" s="51" t="str">
        <x:v>Rare</x:v>
      </x:c>
      <x:c r="E110" s="51" t="n">
        <x:v>28</x:v>
      </x:c>
      <x:c r="F110" s="51" t="str">
        <x:v>Sap / Resin</x:v>
      </x:c>
      <x:c r="G110" s="51" t="str">
        <x:v>Mineral / Salt / Ash</x:v>
      </x:c>
      <x:c r="H110" s="51" t="str">
        <x:v>Thorn / Bark / Wood</x:v>
      </x:c>
      <x:c r="I110" s="51" t="str">
        <x:v>Necrotic</x:v>
      </x:c>
      <x:c r="J110" s="51" t="str">
        <x:v>1 hour</x:v>
      </x:c>
      <x:c r="K110" s="51" t="str">
        <x:v>Coat one weapon or up to 20 pieces of ammunition. For 1 hour, a hit deals an extra 1d6 necrotic damage.</x:v>
      </x:c>
      <x:c r="L110" s="51" t="str"/>
      <x:c r="M110" s="51" t="str"/>
      <x:c r="N110" s="39" t="str">
        <x:v>Bonus Action to use or apply</x:v>
      </x:c>
    </x:row>
    <x:row r="111">
      <x:c r="A111" s="38" t="str">
        <x:v>Oils</x:v>
      </x:c>
      <x:c r="B111" s="51" t="str">
        <x:v>Elemental Oils</x:v>
      </x:c>
      <x:c r="C111" s="51" t="str">
        <x:v>Oil of Poison</x:v>
      </x:c>
      <x:c r="D111" s="51" t="str">
        <x:v>Uncommon</x:v>
      </x:c>
      <x:c r="E111" s="51" t="n">
        <x:v>22</x:v>
      </x:c>
      <x:c r="F111" s="51" t="str">
        <x:v>Sap / Resin</x:v>
      </x:c>
      <x:c r="G111" s="51" t="str">
        <x:v>Mineral / Salt / Ash</x:v>
      </x:c>
      <x:c r="H111" s="51" t="str">
        <x:v>Thorn / Bark / Wood</x:v>
      </x:c>
      <x:c r="I111" s="51" t="str">
        <x:v>Poison</x:v>
      </x:c>
      <x:c r="J111" s="51" t="str">
        <x:v>1 hour</x:v>
      </x:c>
      <x:c r="K111" s="51" t="str">
        <x:v>Coat one weapon or up to 20 pieces of ammunition. For 1 hour, a hit deals an extra 1d4 poison damage.</x:v>
      </x:c>
      <x:c r="L111" s="51" t="str"/>
      <x:c r="M111" s="51" t="str"/>
      <x:c r="N111" s="39" t="str">
        <x:v>Bonus Action to use or apply</x:v>
      </x:c>
    </x:row>
    <x:row r="112">
      <x:c r="A112" s="38" t="str">
        <x:v>Oils</x:v>
      </x:c>
      <x:c r="B112" s="51" t="str">
        <x:v>Elemental Oils</x:v>
      </x:c>
      <x:c r="C112" s="51" t="str">
        <x:v>Oil of Psychic</x:v>
      </x:c>
      <x:c r="D112" s="51" t="str">
        <x:v>Rare</x:v>
      </x:c>
      <x:c r="E112" s="51" t="n">
        <x:v>28</x:v>
      </x:c>
      <x:c r="F112" s="51" t="str">
        <x:v>Sap / Resin</x:v>
      </x:c>
      <x:c r="G112" s="51" t="str">
        <x:v>Mineral / Salt / Ash</x:v>
      </x:c>
      <x:c r="H112" s="51" t="str">
        <x:v>Thorn / Bark / Wood</x:v>
      </x:c>
      <x:c r="I112" s="51" t="str">
        <x:v>Psychic</x:v>
      </x:c>
      <x:c r="J112" s="51" t="str">
        <x:v>1 hour</x:v>
      </x:c>
      <x:c r="K112" s="51" t="str">
        <x:v>Coat one weapon or up to 20 pieces of ammunition. For 1 hour, a hit deals an extra 1d6 psychic damage.</x:v>
      </x:c>
      <x:c r="L112" s="51" t="str"/>
      <x:c r="M112" s="51" t="str"/>
      <x:c r="N112" s="39" t="str">
        <x:v>Bonus Action to use or apply</x:v>
      </x:c>
    </x:row>
    <x:row r="113">
      <x:c r="A113" s="38" t="str">
        <x:v>Oils</x:v>
      </x:c>
      <x:c r="B113" s="51" t="str">
        <x:v>Elemental Oils</x:v>
      </x:c>
      <x:c r="C113" s="51" t="str">
        <x:v>Oil of Radiant</x:v>
      </x:c>
      <x:c r="D113" s="51" t="str">
        <x:v>Rare</x:v>
      </x:c>
      <x:c r="E113" s="51" t="n">
        <x:v>28</x:v>
      </x:c>
      <x:c r="F113" s="51" t="str">
        <x:v>Sap / Resin</x:v>
      </x:c>
      <x:c r="G113" s="51" t="str">
        <x:v>Mineral / Salt / Ash</x:v>
      </x:c>
      <x:c r="H113" s="51" t="str">
        <x:v>Thorn / Bark / Wood</x:v>
      </x:c>
      <x:c r="I113" s="51" t="str">
        <x:v>Radiant</x:v>
      </x:c>
      <x:c r="J113" s="51" t="str">
        <x:v>1 hour</x:v>
      </x:c>
      <x:c r="K113" s="51" t="str">
        <x:v>Coat one weapon or up to 20 pieces of ammunition. For 1 hour, a hit deals an extra 1d6 radiant damage.</x:v>
      </x:c>
      <x:c r="L113" s="51" t="str"/>
      <x:c r="M113" s="51" t="str"/>
      <x:c r="N113" s="39" t="str">
        <x:v>Bonus Action to use or apply</x:v>
      </x:c>
    </x:row>
    <x:row r="114">
      <x:c r="A114" s="38" t="str">
        <x:v>Oils</x:v>
      </x:c>
      <x:c r="B114" s="51" t="str">
        <x:v>Elemental Oils</x:v>
      </x:c>
      <x:c r="C114" s="51" t="str">
        <x:v>Oil of Thunder</x:v>
      </x:c>
      <x:c r="D114" s="51" t="str">
        <x:v>Uncommon</x:v>
      </x:c>
      <x:c r="E114" s="51" t="n">
        <x:v>22</x:v>
      </x:c>
      <x:c r="F114" s="51" t="str">
        <x:v>Sap / Resin</x:v>
      </x:c>
      <x:c r="G114" s="51" t="str">
        <x:v>Mineral / Salt / Ash</x:v>
      </x:c>
      <x:c r="H114" s="51" t="str">
        <x:v>Thorn / Bark / Wood</x:v>
      </x:c>
      <x:c r="I114" s="51" t="str">
        <x:v>Thunder</x:v>
      </x:c>
      <x:c r="J114" s="51" t="str">
        <x:v>1 hour</x:v>
      </x:c>
      <x:c r="K114" s="51" t="str">
        <x:v>Coat one weapon or up to 20 pieces of ammunition. For 1 hour, a hit deals an extra 1d4 thunder damage.</x:v>
      </x:c>
      <x:c r="L114" s="51" t="str"/>
      <x:c r="M114" s="51" t="str"/>
      <x:c r="N114" s="39" t="str">
        <x:v>Bonus Action to use or apply</x:v>
      </x:c>
    </x:row>
    <x:row r="115">
      <x:c r="A115" s="38" t="str">
        <x:v>Oils</x:v>
      </x:c>
      <x:c r="B115" s="51" t="str">
        <x:v>Utility Oils</x:v>
      </x:c>
      <x:c r="C115" s="51" t="str">
        <x:v>Oil of Etherealness</x:v>
      </x:c>
      <x:c r="D115" s="51" t="str">
        <x:v>Very Rare</x:v>
      </x:c>
      <x:c r="E115" s="51" t="n">
        <x:v>34</x:v>
      </x:c>
      <x:c r="F115" s="51" t="str">
        <x:v>Sap / Resin</x:v>
      </x:c>
      <x:c r="G115" s="51" t="str">
        <x:v>Mineral / Salt / Ash</x:v>
      </x:c>
      <x:c r="H115" s="51" t="str">
        <x:v>Flower</x:v>
      </x:c>
      <x:c r="I115" s="51" t="str"/>
      <x:c r="J115" s="51" t="str">
        <x:v>1 hour</x:v>
      </x:c>
      <x:c r="K115" s="51" t="str">
        <x:v>One vial can cover one Medium or smaller creature and grants the effect of Etherealness.</x:v>
      </x:c>
      <x:c r="L115" s="51" t="str"/>
      <x:c r="M115" s="51" t="str"/>
      <x:c r="N115" s="39" t="str">
        <x:v>Bonus Action to use or apply</x:v>
      </x:c>
    </x:row>
    <x:row r="116">
      <x:c r="A116" s="40" t="str">
        <x:v>Oils</x:v>
      </x:c>
      <x:c r="B116" s="52" t="str">
        <x:v>Utility Oils</x:v>
      </x:c>
      <x:c r="C116" s="52" t="str">
        <x:v>Oil of Sharpness</x:v>
      </x:c>
      <x:c r="D116" s="52" t="str">
        <x:v>Very Rare</x:v>
      </x:c>
      <x:c r="E116" s="52" t="n">
        <x:v>34</x:v>
      </x:c>
      <x:c r="F116" s="52" t="str">
        <x:v>Sap / Resin</x:v>
      </x:c>
      <x:c r="G116" s="52" t="str">
        <x:v>Thorn / Bark / Wood</x:v>
      </x:c>
      <x:c r="H116" s="52" t="str">
        <x:v>Mineral / Salt / Ash</x:v>
      </x:c>
      <x:c r="I116" s="52" t="str"/>
      <x:c r="J116" s="52" t="str">
        <x:v>1 hour</x:v>
      </x:c>
      <x:c r="K116" s="52" t="str">
        <x:v>A coated slashing or piercing weapon or ammunition gains a temporary bonus to attack and damage rolls by DM ruling.</x:v>
      </x:c>
      <x:c r="L116" s="52" t="str"/>
      <x:c r="M116" s="52" t="str"/>
      <x:c r="N116" s="41" t="str">
        <x:v>Bonus Action to use or apply</x:v>
      </x:c>
    </x:row>
  </x:sheetData>
  <x:conditionalFormatting sqref="A2:A116">
    <x:cfRule type="expression" dxfId="5" priority="1">
      <x:formula>A2="Potions"</x:formula>
    </x:cfRule>
    <x:cfRule type="expression" dxfId="6" priority="2">
      <x:formula>A2="Poisons"</x:formula>
    </x:cfRule>
    <x:cfRule type="expression" dxfId="7" priority="3">
      <x:formula>A2="Bombs"</x:formula>
    </x:cfRule>
    <x:cfRule type="expression" dxfId="8" priority="4">
      <x:formula>A2="Elixirs"</x:formula>
    </x:cfRule>
    <x:cfRule type="expression" dxfId="9" priority="5">
      <x:formula>A2="Oils"</x:formula>
    </x:cfRule>
  </x:conditionalFormatting>
  <x:conditionalFormatting sqref="D2:D116">
    <x:cfRule type="expression" dxfId="10" priority="6">
      <x:formula>D2="Common"</x:formula>
    </x:cfRule>
    <x:cfRule type="expression" dxfId="11" priority="7">
      <x:formula>D2="Uncommon"</x:formula>
    </x:cfRule>
    <x:cfRule type="expression" dxfId="12" priority="8">
      <x:formula>D2="Rare"</x:formula>
    </x:cfRule>
    <x:cfRule type="expression" dxfId="13" priority="9">
      <x:formula>D2="Very Rare"</x:formula>
    </x:cfRule>
    <x:cfRule type="expression" dxfId="14" priority="10">
      <x:formula>D2="Legendary"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e545a0c08342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4" hidden="0" customWidth="1"/>
    <x:col min="4" max="4" width="18" hidden="0" customWidth="1"/>
    <x:col min="5" max="5" width="22" hidden="0" customWidth="1"/>
    <x:col min="6" max="6" width="22" hidden="0" customWidth="1"/>
    <x:col min="7" max="7" width="16" hidden="0" customWidth="1"/>
    <x:col min="8" max="8" width="10" hidden="0" customWidth="1"/>
    <x:col min="9" max="9" width="20" hidden="0" customWidth="1"/>
    <x:col min="10" max="10" width="50" hidden="0" customWidth="1"/>
  </x:cols>
  <x:sheetData>
    <x:row r="1">
      <x:c r="A1" s="26" t="str">
        <x:v>Potion</x:v>
      </x:c>
      <x:c r="B1" s="46" t="str">
        <x:v>Rarity</x:v>
      </x:c>
      <x:c r="C1" s="46" t="str">
        <x:v>Base Craft DC</x:v>
      </x:c>
      <x:c r="D1" s="46" t="str">
        <x:v>Required Tag</x:v>
      </x:c>
      <x:c r="E1" s="46" t="str">
        <x:v>Damage</x:v>
      </x:c>
      <x:c r="F1" s="46" t="str">
        <x:v>Area</x:v>
      </x:c>
      <x:c r="G1" s="46" t="str">
        <x:v>Save</x:v>
      </x:c>
      <x:c r="H1" s="46" t="str">
        <x:v>Uses</x:v>
      </x:c>
      <x:c r="I1" s="46" t="str">
        <x:v>Duration</x:v>
      </x:c>
      <x:c r="J1" s="27" t="str">
        <x:v>Core Formula</x:v>
      </x:c>
    </x:row>
    <x:row r="2">
      <x:c r="A2" s="38" t="str">
        <x:v>Potion of Acid Breath</x:v>
      </x:c>
      <x:c r="B2" s="51" t="str">
        <x:v>Uncommon</x:v>
      </x:c>
      <x:c r="C2" s="51" t="n">
        <x:v>22</x:v>
      </x:c>
      <x:c r="D2" s="51" t="str">
        <x:v>Acid</x:v>
      </x:c>
      <x:c r="E2" s="51" t="str">
        <x:v>4d6 acid</x:v>
      </x:c>
      <x:c r="F2" s="51" t="str">
        <x:v>15-foot cone</x:v>
      </x:c>
      <x:c r="G2" s="51" t="str">
        <x:v>Dexterity</x:v>
      </x:c>
      <x:c r="H2" s="51" t="n">
        <x:v>3</x:v>
      </x:c>
      <x:c r="I2" s="51" t="str">
        <x:v>1 hour or 3 uses</x:v>
      </x:c>
      <x:c r="J2" s="39" t="str">
        <x:v>Mineral / Salt / Ash + Sap / Resin + Thorn / Bark / Wood</x:v>
      </x:c>
    </x:row>
    <x:row r="3">
      <x:c r="A3" s="38" t="str">
        <x:v>Potion of Cold Breath</x:v>
      </x:c>
      <x:c r="B3" s="51" t="str">
        <x:v>Uncommon</x:v>
      </x:c>
      <x:c r="C3" s="51" t="n">
        <x:v>22</x:v>
      </x:c>
      <x:c r="D3" s="51" t="str">
        <x:v>Cold</x:v>
      </x:c>
      <x:c r="E3" s="51" t="str">
        <x:v>4d6 cold</x:v>
      </x:c>
      <x:c r="F3" s="51" t="str">
        <x:v>15-foot cone</x:v>
      </x:c>
      <x:c r="G3" s="51" t="str">
        <x:v>Constitution</x:v>
      </x:c>
      <x:c r="H3" s="51" t="n">
        <x:v>3</x:v>
      </x:c>
      <x:c r="I3" s="51" t="str">
        <x:v>1 hour or 3 uses</x:v>
      </x:c>
      <x:c r="J3" s="39" t="str">
        <x:v>Mineral / Salt / Ash + Sap / Resin + Thorn / Bark / Wood</x:v>
      </x:c>
    </x:row>
    <x:row r="4">
      <x:c r="A4" s="38" t="str">
        <x:v>Potion of Fire Breath</x:v>
      </x:c>
      <x:c r="B4" s="51" t="str">
        <x:v>Uncommon</x:v>
      </x:c>
      <x:c r="C4" s="51" t="n">
        <x:v>22</x:v>
      </x:c>
      <x:c r="D4" s="51" t="str">
        <x:v>Fire</x:v>
      </x:c>
      <x:c r="E4" s="51" t="str">
        <x:v>4d6 fire</x:v>
      </x:c>
      <x:c r="F4" s="51" t="str">
        <x:v>15-foot cone</x:v>
      </x:c>
      <x:c r="G4" s="51" t="str">
        <x:v>Dexterity</x:v>
      </x:c>
      <x:c r="H4" s="51" t="n">
        <x:v>3</x:v>
      </x:c>
      <x:c r="I4" s="51" t="str">
        <x:v>1 hour or 3 uses</x:v>
      </x:c>
      <x:c r="J4" s="39" t="str">
        <x:v>Mineral / Salt / Ash + Sap / Resin + Thorn / Bark / Wood</x:v>
      </x:c>
    </x:row>
    <x:row r="5">
      <x:c r="A5" s="38" t="str">
        <x:v>Potion of Force Breath</x:v>
      </x:c>
      <x:c r="B5" s="51" t="str">
        <x:v>Rare</x:v>
      </x:c>
      <x:c r="C5" s="51" t="n">
        <x:v>28</x:v>
      </x:c>
      <x:c r="D5" s="51" t="str">
        <x:v>Force</x:v>
      </x:c>
      <x:c r="E5" s="51" t="str">
        <x:v>4d6 force</x:v>
      </x:c>
      <x:c r="F5" s="51" t="str">
        <x:v>15-foot cone</x:v>
      </x:c>
      <x:c r="G5" s="51" t="str">
        <x:v>Strength</x:v>
      </x:c>
      <x:c r="H5" s="51" t="n">
        <x:v>3</x:v>
      </x:c>
      <x:c r="I5" s="51" t="str">
        <x:v>1 hour or 3 uses</x:v>
      </x:c>
      <x:c r="J5" s="39" t="str">
        <x:v>Mineral / Salt / Ash + Sap / Resin + Thorn / Bark / Wood</x:v>
      </x:c>
    </x:row>
    <x:row r="6">
      <x:c r="A6" s="38" t="str">
        <x:v>Potion of Lightning Breath</x:v>
      </x:c>
      <x:c r="B6" s="51" t="str">
        <x:v>Uncommon</x:v>
      </x:c>
      <x:c r="C6" s="51" t="n">
        <x:v>22</x:v>
      </x:c>
      <x:c r="D6" s="51" t="str">
        <x:v>Lightning</x:v>
      </x:c>
      <x:c r="E6" s="51" t="str">
        <x:v>4d6 lightning</x:v>
      </x:c>
      <x:c r="F6" s="51" t="str">
        <x:v>15-foot cone</x:v>
      </x:c>
      <x:c r="G6" s="51" t="str">
        <x:v>Dexterity</x:v>
      </x:c>
      <x:c r="H6" s="51" t="n">
        <x:v>3</x:v>
      </x:c>
      <x:c r="I6" s="51" t="str">
        <x:v>1 hour or 3 uses</x:v>
      </x:c>
      <x:c r="J6" s="39" t="str">
        <x:v>Mineral / Salt / Ash + Sap / Resin + Thorn / Bark / Wood</x:v>
      </x:c>
    </x:row>
    <x:row r="7">
      <x:c r="A7" s="38" t="str">
        <x:v>Potion of Necrotic Breath</x:v>
      </x:c>
      <x:c r="B7" s="51" t="str">
        <x:v>Rare</x:v>
      </x:c>
      <x:c r="C7" s="51" t="n">
        <x:v>28</x:v>
      </x:c>
      <x:c r="D7" s="51" t="str">
        <x:v>Necrotic</x:v>
      </x:c>
      <x:c r="E7" s="51" t="str">
        <x:v>4d6 necrotic</x:v>
      </x:c>
      <x:c r="F7" s="51" t="str">
        <x:v>15-foot cone</x:v>
      </x:c>
      <x:c r="G7" s="51" t="str">
        <x:v>Constitution</x:v>
      </x:c>
      <x:c r="H7" s="51" t="n">
        <x:v>3</x:v>
      </x:c>
      <x:c r="I7" s="51" t="str">
        <x:v>1 hour or 3 uses</x:v>
      </x:c>
      <x:c r="J7" s="39" t="str">
        <x:v>Mineral / Salt / Ash + Sap / Resin + Thorn / Bark / Wood</x:v>
      </x:c>
    </x:row>
    <x:row r="8">
      <x:c r="A8" s="38" t="str">
        <x:v>Potion of Poison Breath</x:v>
      </x:c>
      <x:c r="B8" s="51" t="str">
        <x:v>Uncommon</x:v>
      </x:c>
      <x:c r="C8" s="51" t="n">
        <x:v>22</x:v>
      </x:c>
      <x:c r="D8" s="51" t="str">
        <x:v>Poison</x:v>
      </x:c>
      <x:c r="E8" s="51" t="str">
        <x:v>4d6 poison</x:v>
      </x:c>
      <x:c r="F8" s="51" t="str">
        <x:v>15-foot cone</x:v>
      </x:c>
      <x:c r="G8" s="51" t="str">
        <x:v>Constitution</x:v>
      </x:c>
      <x:c r="H8" s="51" t="n">
        <x:v>3</x:v>
      </x:c>
      <x:c r="I8" s="51" t="str">
        <x:v>1 hour or 3 uses</x:v>
      </x:c>
      <x:c r="J8" s="39" t="str">
        <x:v>Mineral / Salt / Ash + Sap / Resin + Thorn / Bark / Wood</x:v>
      </x:c>
    </x:row>
    <x:row r="9">
      <x:c r="A9" s="38" t="str">
        <x:v>Potion of Psychic Breath</x:v>
      </x:c>
      <x:c r="B9" s="51" t="str">
        <x:v>Rare</x:v>
      </x:c>
      <x:c r="C9" s="51" t="n">
        <x:v>28</x:v>
      </x:c>
      <x:c r="D9" s="51" t="str">
        <x:v>Psychic</x:v>
      </x:c>
      <x:c r="E9" s="51" t="str">
        <x:v>4d6 psychic</x:v>
      </x:c>
      <x:c r="F9" s="51" t="str">
        <x:v>15-foot cone</x:v>
      </x:c>
      <x:c r="G9" s="51" t="str">
        <x:v>Wisdom</x:v>
      </x:c>
      <x:c r="H9" s="51" t="n">
        <x:v>3</x:v>
      </x:c>
      <x:c r="I9" s="51" t="str">
        <x:v>1 hour or 3 uses</x:v>
      </x:c>
      <x:c r="J9" s="39" t="str">
        <x:v>Mineral / Salt / Ash + Sap / Resin + Thorn / Bark / Wood</x:v>
      </x:c>
    </x:row>
    <x:row r="10">
      <x:c r="A10" s="38" t="str">
        <x:v>Potion of Radiant Breath</x:v>
      </x:c>
      <x:c r="B10" s="51" t="str">
        <x:v>Rare</x:v>
      </x:c>
      <x:c r="C10" s="51" t="n">
        <x:v>28</x:v>
      </x:c>
      <x:c r="D10" s="51" t="str">
        <x:v>Radiant</x:v>
      </x:c>
      <x:c r="E10" s="51" t="str">
        <x:v>4d6 radiant</x:v>
      </x:c>
      <x:c r="F10" s="51" t="str">
        <x:v>15-foot cone</x:v>
      </x:c>
      <x:c r="G10" s="51" t="str">
        <x:v>Constitution</x:v>
      </x:c>
      <x:c r="H10" s="51" t="n">
        <x:v>3</x:v>
      </x:c>
      <x:c r="I10" s="51" t="str">
        <x:v>1 hour or 3 uses</x:v>
      </x:c>
      <x:c r="J10" s="39" t="str">
        <x:v>Mineral / Salt / Ash + Sap / Resin + Thorn / Bark / Wood</x:v>
      </x:c>
    </x:row>
    <x:row r="11">
      <x:c r="A11" s="40" t="str">
        <x:v>Potion of Thunder Breath</x:v>
      </x:c>
      <x:c r="B11" s="52" t="str">
        <x:v>Uncommon</x:v>
      </x:c>
      <x:c r="C11" s="52" t="n">
        <x:v>22</x:v>
      </x:c>
      <x:c r="D11" s="52" t="str">
        <x:v>Thunder</x:v>
      </x:c>
      <x:c r="E11" s="52" t="str">
        <x:v>4d6 thunder</x:v>
      </x:c>
      <x:c r="F11" s="52" t="str">
        <x:v>15-foot cone</x:v>
      </x:c>
      <x:c r="G11" s="52" t="str">
        <x:v>Constitution</x:v>
      </x:c>
      <x:c r="H11" s="52" t="n">
        <x:v>3</x:v>
      </x:c>
      <x:c r="I11" s="52" t="str">
        <x:v>1 hour or 3 uses</x:v>
      </x:c>
      <x:c r="J11" s="41" t="str">
        <x:v>Mineral / Salt / Ash + Sap / Resin + Thorn / Bark / Wood</x:v>
      </x:c>
    </x:row>
  </x:sheetData>
  <x:pageMargins left="0.7" right="0.7" top="0.75" bottom="0.75" header="0.3" footer="0.3"/>
  <x:tableParts count="1">
    <x:tablePart xmlns:r="http://schemas.openxmlformats.org/officeDocument/2006/relationships" r:id="R5cae5b40332e4d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3" hidden="0" customWidth="1"/>
    <x:col min="4" max="4" width="14" hidden="0" customWidth="1"/>
    <x:col min="5" max="5" width="35" hidden="0" customWidth="1"/>
    <x:col min="6" max="6" width="22" hidden="0" customWidth="1"/>
    <x:col min="7" max="7" width="16" hidden="0" customWidth="1"/>
    <x:col min="8" max="8" width="74" hidden="0" customWidth="1"/>
    <x:col min="9" max="9" width="26" hidden="0" customWidth="1"/>
  </x:cols>
  <x:sheetData>
    <x:row r="1">
      <x:c r="A1" s="26" t="str">
        <x:v>Bomb</x:v>
      </x:c>
      <x:c r="B1" s="46" t="str">
        <x:v>Group</x:v>
      </x:c>
      <x:c r="C1" s="46" t="str">
        <x:v>Rarity</x:v>
      </x:c>
      <x:c r="D1" s="46" t="str">
        <x:v>Base Craft DC</x:v>
      </x:c>
      <x:c r="E1" s="46" t="str">
        <x:v>Required Tags</x:v>
      </x:c>
      <x:c r="F1" s="46" t="str">
        <x:v>Base Area</x:v>
      </x:c>
      <x:c r="G1" s="46" t="str">
        <x:v>Save Ability</x:v>
      </x:c>
      <x:c r="H1" s="46" t="str">
        <x:v>Base Damage / Effect</x:v>
      </x:c>
      <x:c r="I1" s="27" t="str">
        <x:v>Use</x:v>
      </x:c>
    </x:row>
    <x:row r="2">
      <x:c r="A2" s="38" t="str">
        <x:v>Bomb of Blindness</x:v>
      </x:c>
      <x:c r="B2" s="51" t="str">
        <x:v>Condition Bombs</x:v>
      </x:c>
      <x:c r="C2" s="51" t="str">
        <x:v>Uncommon</x:v>
      </x:c>
      <x:c r="D2" s="51" t="n">
        <x:v>22</x:v>
      </x:c>
      <x:c r="E2" s="51" t="str">
        <x:v>Blindness, Sight</x:v>
      </x:c>
      <x:c r="F2" s="51" t="str">
        <x:v>10-foot radius cloud</x:v>
      </x:c>
      <x:c r="G2" s="51" t="str">
        <x:v>Constitution</x:v>
      </x:c>
      <x:c r="H2" s="51" t="str">
        <x:v>Creatures in a 10-foot-radius cloud make a Constitution saving throw. On a failed save, a creature is Blinded for 1 minute.</x:v>
      </x:c>
      <x:c r="I2" s="39" t="str">
        <x:v>Bonus Action to use or apply</x:v>
      </x:c>
    </x:row>
    <x:row r="3">
      <x:c r="A3" s="38" t="str">
        <x:v>Bomb of Charm</x:v>
      </x:c>
      <x:c r="B3" s="51" t="str">
        <x:v>Condition Bombs</x:v>
      </x:c>
      <x:c r="C3" s="51" t="str">
        <x:v>Rare</x:v>
      </x:c>
      <x:c r="D3" s="51" t="n">
        <x:v>28</x:v>
      </x:c>
      <x:c r="E3" s="51" t="str">
        <x:v>Charm, Mind, Psychic, Fey</x:v>
      </x:c>
      <x:c r="F3" s="51" t="str">
        <x:v>10-foot radius cloud</x:v>
      </x:c>
      <x:c r="G3" s="51" t="str">
        <x:v>Wisdom</x:v>
      </x:c>
      <x:c r="H3" s="51" t="str">
        <x:v>Creatures in a 10-foot-radius cloud make a Wisdom saving throw. On a failed save, a creature is Charmed for 1 minute.</x:v>
      </x:c>
      <x:c r="I3" s="39" t="str">
        <x:v>Bonus Action to use or apply</x:v>
      </x:c>
    </x:row>
    <x:row r="4">
      <x:c r="A4" s="38" t="str">
        <x:v>Bomb of Confusion</x:v>
      </x:c>
      <x:c r="B4" s="51" t="str">
        <x:v>Condition Bombs</x:v>
      </x:c>
      <x:c r="C4" s="51" t="str">
        <x:v>Rare</x:v>
      </x:c>
      <x:c r="D4" s="51" t="n">
        <x:v>28</x:v>
      </x:c>
      <x:c r="E4" s="51" t="str">
        <x:v>Confusion, Mind, Psychic</x:v>
      </x:c>
      <x:c r="F4" s="51" t="str">
        <x:v>10-foot radius cloud</x:v>
      </x:c>
      <x:c r="G4" s="51" t="str">
        <x:v>Wisdom</x:v>
      </x:c>
      <x:c r="H4" s="51" t="str">
        <x:v>Creatures in a 10-foot-radius cloud make a Wisdom saving throw. On a failed save, a creature is Confused for 1 minute.</x:v>
      </x:c>
      <x:c r="I4" s="39" t="str">
        <x:v>Bonus Action to use or apply</x:v>
      </x:c>
    </x:row>
    <x:row r="5">
      <x:c r="A5" s="38" t="str">
        <x:v>Bomb of Deafness</x:v>
      </x:c>
      <x:c r="B5" s="51" t="str">
        <x:v>Condition Bombs</x:v>
      </x:c>
      <x:c r="C5" s="51" t="str">
        <x:v>Uncommon</x:v>
      </x:c>
      <x:c r="D5" s="51" t="n">
        <x:v>22</x:v>
      </x:c>
      <x:c r="E5" s="51" t="str">
        <x:v>Deafness, Sound, Thunder</x:v>
      </x:c>
      <x:c r="F5" s="51" t="str">
        <x:v>10-foot radius cloud</x:v>
      </x:c>
      <x:c r="G5" s="51" t="str">
        <x:v>Constitution</x:v>
      </x:c>
      <x:c r="H5" s="51" t="str">
        <x:v>Creatures in a 10-foot-radius cloud make a Constitution saving throw. On a failed save, a creature is Deafened for 1 minute.</x:v>
      </x:c>
      <x:c r="I5" s="39" t="str">
        <x:v>Bonus Action to use or apply</x:v>
      </x:c>
    </x:row>
    <x:row r="6">
      <x:c r="A6" s="38" t="str">
        <x:v>Bomb of Fear</x:v>
      </x:c>
      <x:c r="B6" s="51" t="str">
        <x:v>Condition Bombs</x:v>
      </x:c>
      <x:c r="C6" s="51" t="str">
        <x:v>Rare</x:v>
      </x:c>
      <x:c r="D6" s="51" t="n">
        <x:v>28</x:v>
      </x:c>
      <x:c r="E6" s="51" t="str">
        <x:v>Fear, Mind, Psychic</x:v>
      </x:c>
      <x:c r="F6" s="51" t="str">
        <x:v>10-foot radius cloud</x:v>
      </x:c>
      <x:c r="G6" s="51" t="str">
        <x:v>Wisdom</x:v>
      </x:c>
      <x:c r="H6" s="51" t="str">
        <x:v>Creatures in a 10-foot-radius cloud make a Wisdom saving throw. On a failed save, a creature is Frightened for 1 minute.</x:v>
      </x:c>
      <x:c r="I6" s="39" t="str">
        <x:v>Bonus Action to use or apply</x:v>
      </x:c>
    </x:row>
    <x:row r="7">
      <x:c r="A7" s="38" t="str">
        <x:v>Bomb of Paralysis</x:v>
      </x:c>
      <x:c r="B7" s="51" t="str">
        <x:v>Condition Bombs</x:v>
      </x:c>
      <x:c r="C7" s="51" t="str">
        <x:v>Rare</x:v>
      </x:c>
      <x:c r="D7" s="51" t="n">
        <x:v>28</x:v>
      </x:c>
      <x:c r="E7" s="51" t="str">
        <x:v>Paralysis, Nerve</x:v>
      </x:c>
      <x:c r="F7" s="51" t="str">
        <x:v>10-foot radius cloud</x:v>
      </x:c>
      <x:c r="G7" s="51" t="str">
        <x:v>Constitution</x:v>
      </x:c>
      <x:c r="H7" s="51" t="str">
        <x:v>Creatures in a 10-foot-radius cloud make a Constitution saving throw. On a failed save, a creature is Paralyzed for 1 minute.</x:v>
      </x:c>
      <x:c r="I7" s="39" t="str">
        <x:v>Bonus Action to use or apply</x:v>
      </x:c>
    </x:row>
    <x:row r="8">
      <x:c r="A8" s="38" t="str">
        <x:v>Bomb of Petrification</x:v>
      </x:c>
      <x:c r="B8" s="51" t="str">
        <x:v>Condition Bombs</x:v>
      </x:c>
      <x:c r="C8" s="51" t="str">
        <x:v>Very Rare</x:v>
      </x:c>
      <x:c r="D8" s="51" t="n">
        <x:v>34</x:v>
      </x:c>
      <x:c r="E8" s="51" t="str">
        <x:v>Petrification, Stone</x:v>
      </x:c>
      <x:c r="F8" s="51" t="str">
        <x:v>10-foot radius cloud</x:v>
      </x:c>
      <x:c r="G8" s="51" t="str">
        <x:v>Constitution</x:v>
      </x:c>
      <x:c r="H8" s="51" t="str">
        <x:v>Creatures in a 10-foot-radius cloud make a Constitution saving throw. On a failed save, a creature is Petrified for 1 minute.</x:v>
      </x:c>
      <x:c r="I8" s="39" t="str">
        <x:v>Bonus Action to use or apply</x:v>
      </x:c>
    </x:row>
    <x:row r="9">
      <x:c r="A9" s="38" t="str">
        <x:v>Bomb of Poisoning</x:v>
      </x:c>
      <x:c r="B9" s="51" t="str">
        <x:v>Condition Bombs</x:v>
      </x:c>
      <x:c r="C9" s="51" t="str">
        <x:v>Uncommon</x:v>
      </x:c>
      <x:c r="D9" s="51" t="n">
        <x:v>22</x:v>
      </x:c>
      <x:c r="E9" s="51" t="str">
        <x:v>Poison, Venom</x:v>
      </x:c>
      <x:c r="F9" s="51" t="str">
        <x:v>10-foot radius cloud</x:v>
      </x:c>
      <x:c r="G9" s="51" t="str">
        <x:v>Constitution</x:v>
      </x:c>
      <x:c r="H9" s="51" t="str">
        <x:v>Creatures in a 10-foot-radius cloud make a Constitution saving throw. On a failed save, a creature is Poisoned for 1 minute.</x:v>
      </x:c>
      <x:c r="I9" s="39" t="str">
        <x:v>Bonus Action to use or apply</x:v>
      </x:c>
    </x:row>
    <x:row r="10">
      <x:c r="A10" s="38" t="str">
        <x:v>Bomb of Restraint</x:v>
      </x:c>
      <x:c r="B10" s="51" t="str">
        <x:v>Condition Bombs</x:v>
      </x:c>
      <x:c r="C10" s="51" t="str">
        <x:v>Rare</x:v>
      </x:c>
      <x:c r="D10" s="51" t="n">
        <x:v>28</x:v>
      </x:c>
      <x:c r="E10" s="51" t="str">
        <x:v>Restraint, Binding</x:v>
      </x:c>
      <x:c r="F10" s="51" t="str">
        <x:v>10-foot radius cloud</x:v>
      </x:c>
      <x:c r="G10" s="51" t="str">
        <x:v>Dexterity</x:v>
      </x:c>
      <x:c r="H10" s="51" t="str">
        <x:v>Creatures in a 10-foot-radius cloud make a Dexterity saving throw. On a failed save, a creature is Restrained for 1 minute.</x:v>
      </x:c>
      <x:c r="I10" s="39" t="str">
        <x:v>Bonus Action to use or apply</x:v>
      </x:c>
    </x:row>
    <x:row r="11">
      <x:c r="A11" s="38" t="str">
        <x:v>Bomb of Stunning</x:v>
      </x:c>
      <x:c r="B11" s="51" t="str">
        <x:v>Condition Bombs</x:v>
      </x:c>
      <x:c r="C11" s="51" t="str">
        <x:v>Rare</x:v>
      </x:c>
      <x:c r="D11" s="51" t="n">
        <x:v>28</x:v>
      </x:c>
      <x:c r="E11" s="51" t="str">
        <x:v>Stunning, Nerve, Lightning, Thunder</x:v>
      </x:c>
      <x:c r="F11" s="51" t="str">
        <x:v>10-foot radius cloud</x:v>
      </x:c>
      <x:c r="G11" s="51" t="str">
        <x:v>Constitution</x:v>
      </x:c>
      <x:c r="H11" s="51" t="str">
        <x:v>Creatures in a 10-foot-radius cloud make a Constitution saving throw. On a failed save, a creature is Stunned for Until the end of the target's next turn.</x:v>
      </x:c>
      <x:c r="I11" s="39" t="str">
        <x:v>Bonus Action to use or apply</x:v>
      </x:c>
    </x:row>
    <x:row r="12">
      <x:c r="A12" s="38" t="str">
        <x:v>Bomb of Acid</x:v>
      </x:c>
      <x:c r="B12" s="51" t="str">
        <x:v>Elemental Bombs</x:v>
      </x:c>
      <x:c r="C12" s="51" t="str">
        <x:v>Uncommon</x:v>
      </x:c>
      <x:c r="D12" s="51" t="n">
        <x:v>22</x:v>
      </x:c>
      <x:c r="E12" s="51" t="str">
        <x:v>Acid</x:v>
      </x:c>
      <x:c r="F12" s="51" t="str">
        <x:v>10-foot radius burst</x:v>
      </x:c>
      <x:c r="G12" s="51" t="str">
        <x:v>Dexterity</x:v>
      </x:c>
      <x:c r="H12" s="51" t="str">
        <x:v>Creatures in a 10-foot-radius burst make a Dexterity saving throw, taking 2d6 acid damage on a failed save or half as much on a success.</x:v>
      </x:c>
      <x:c r="I12" s="39" t="str">
        <x:v>Bonus Action to use or apply</x:v>
      </x:c>
    </x:row>
    <x:row r="13">
      <x:c r="A13" s="38" t="str">
        <x:v>Bomb of Cold</x:v>
      </x:c>
      <x:c r="B13" s="51" t="str">
        <x:v>Elemental Bombs</x:v>
      </x:c>
      <x:c r="C13" s="51" t="str">
        <x:v>Uncommon</x:v>
      </x:c>
      <x:c r="D13" s="51" t="n">
        <x:v>22</x:v>
      </x:c>
      <x:c r="E13" s="51" t="str">
        <x:v>Cold</x:v>
      </x:c>
      <x:c r="F13" s="51" t="str">
        <x:v>10-foot radius burst</x:v>
      </x:c>
      <x:c r="G13" s="51" t="str">
        <x:v>Dexterity</x:v>
      </x:c>
      <x:c r="H13" s="51" t="str">
        <x:v>Creatures in a 10-foot-radius burst make a Dexterity saving throw, taking 2d6 cold damage on a failed save or half as much on a success.</x:v>
      </x:c>
      <x:c r="I13" s="39" t="str">
        <x:v>Bonus Action to use or apply</x:v>
      </x:c>
    </x:row>
    <x:row r="14">
      <x:c r="A14" s="38" t="str">
        <x:v>Bomb of Fire</x:v>
      </x:c>
      <x:c r="B14" s="51" t="str">
        <x:v>Elemental Bombs</x:v>
      </x:c>
      <x:c r="C14" s="51" t="str">
        <x:v>Uncommon</x:v>
      </x:c>
      <x:c r="D14" s="51" t="n">
        <x:v>22</x:v>
      </x:c>
      <x:c r="E14" s="51" t="str">
        <x:v>Fire</x:v>
      </x:c>
      <x:c r="F14" s="51" t="str">
        <x:v>10-foot radius burst</x:v>
      </x:c>
      <x:c r="G14" s="51" t="str">
        <x:v>Dexterity</x:v>
      </x:c>
      <x:c r="H14" s="51" t="str">
        <x:v>Creatures in a 10-foot-radius burst make a Dexterity saving throw, taking 2d6 fire damage on a failed save or half as much on a success.</x:v>
      </x:c>
      <x:c r="I14" s="39" t="str">
        <x:v>Bonus Action to use or apply</x:v>
      </x:c>
    </x:row>
    <x:row r="15">
      <x:c r="A15" s="38" t="str">
        <x:v>Bomb of Force</x:v>
      </x:c>
      <x:c r="B15" s="51" t="str">
        <x:v>Elemental Bombs</x:v>
      </x:c>
      <x:c r="C15" s="51" t="str">
        <x:v>Rare</x:v>
      </x:c>
      <x:c r="D15" s="51" t="n">
        <x:v>28</x:v>
      </x:c>
      <x:c r="E15" s="51" t="str">
        <x:v>Force</x:v>
      </x:c>
      <x:c r="F15" s="51" t="str">
        <x:v>10-foot radius burst</x:v>
      </x:c>
      <x:c r="G15" s="51" t="str">
        <x:v>Dexterity</x:v>
      </x:c>
      <x:c r="H15" s="51" t="str">
        <x:v>Creatures in a 10-foot-radius burst make a Dexterity saving throw, taking 3d6 force damage on a failed save or half as much on a success.</x:v>
      </x:c>
      <x:c r="I15" s="39" t="str">
        <x:v>Bonus Action to use or apply</x:v>
      </x:c>
    </x:row>
    <x:row r="16">
      <x:c r="A16" s="38" t="str">
        <x:v>Bomb of Lightning</x:v>
      </x:c>
      <x:c r="B16" s="51" t="str">
        <x:v>Elemental Bombs</x:v>
      </x:c>
      <x:c r="C16" s="51" t="str">
        <x:v>Uncommon</x:v>
      </x:c>
      <x:c r="D16" s="51" t="n">
        <x:v>22</x:v>
      </x:c>
      <x:c r="E16" s="51" t="str">
        <x:v>Lightning</x:v>
      </x:c>
      <x:c r="F16" s="51" t="str">
        <x:v>10-foot radius burst</x:v>
      </x:c>
      <x:c r="G16" s="51" t="str">
        <x:v>Dexterity</x:v>
      </x:c>
      <x:c r="H16" s="51" t="str">
        <x:v>Creatures in a 10-foot-radius burst make a Dexterity saving throw, taking 2d6 lightning damage on a failed save or half as much on a success.</x:v>
      </x:c>
      <x:c r="I16" s="39" t="str">
        <x:v>Bonus Action to use or apply</x:v>
      </x:c>
    </x:row>
    <x:row r="17">
      <x:c r="A17" s="38" t="str">
        <x:v>Bomb of Necrotic</x:v>
      </x:c>
      <x:c r="B17" s="51" t="str">
        <x:v>Elemental Bombs</x:v>
      </x:c>
      <x:c r="C17" s="51" t="str">
        <x:v>Rare</x:v>
      </x:c>
      <x:c r="D17" s="51" t="n">
        <x:v>28</x:v>
      </x:c>
      <x:c r="E17" s="51" t="str">
        <x:v>Necrotic</x:v>
      </x:c>
      <x:c r="F17" s="51" t="str">
        <x:v>10-foot radius burst</x:v>
      </x:c>
      <x:c r="G17" s="51" t="str">
        <x:v>Constitution</x:v>
      </x:c>
      <x:c r="H17" s="51" t="str">
        <x:v>Creatures in a 10-foot-radius burst make a Constitution saving throw, taking 3d6 necrotic damage on a failed save or half as much on a success.</x:v>
      </x:c>
      <x:c r="I17" s="39" t="str">
        <x:v>Bonus Action to use or apply</x:v>
      </x:c>
    </x:row>
    <x:row r="18">
      <x:c r="A18" s="38" t="str">
        <x:v>Bomb of Poison</x:v>
      </x:c>
      <x:c r="B18" s="51" t="str">
        <x:v>Elemental Bombs</x:v>
      </x:c>
      <x:c r="C18" s="51" t="str">
        <x:v>Uncommon</x:v>
      </x:c>
      <x:c r="D18" s="51" t="n">
        <x:v>22</x:v>
      </x:c>
      <x:c r="E18" s="51" t="str">
        <x:v>Poison</x:v>
      </x:c>
      <x:c r="F18" s="51" t="str">
        <x:v>10-foot radius burst</x:v>
      </x:c>
      <x:c r="G18" s="51" t="str">
        <x:v>Constitution</x:v>
      </x:c>
      <x:c r="H18" s="51" t="str">
        <x:v>Creatures in a 10-foot-radius burst make a Constitution saving throw, taking 2d6 poison damage on a failed save or half as much on a success.</x:v>
      </x:c>
      <x:c r="I18" s="39" t="str">
        <x:v>Bonus Action to use or apply</x:v>
      </x:c>
    </x:row>
    <x:row r="19">
      <x:c r="A19" s="38" t="str">
        <x:v>Bomb of Psychic</x:v>
      </x:c>
      <x:c r="B19" s="51" t="str">
        <x:v>Elemental Bombs</x:v>
      </x:c>
      <x:c r="C19" s="51" t="str">
        <x:v>Rare</x:v>
      </x:c>
      <x:c r="D19" s="51" t="n">
        <x:v>28</x:v>
      </x:c>
      <x:c r="E19" s="51" t="str">
        <x:v>Psychic</x:v>
      </x:c>
      <x:c r="F19" s="51" t="str">
        <x:v>10-foot radius burst</x:v>
      </x:c>
      <x:c r="G19" s="51" t="str">
        <x:v>Wisdom</x:v>
      </x:c>
      <x:c r="H19" s="51" t="str">
        <x:v>Creatures in a 10-foot-radius burst make a Wisdom saving throw, taking 3d6 psychic damage on a failed save or half as much on a success.</x:v>
      </x:c>
      <x:c r="I19" s="39" t="str">
        <x:v>Bonus Action to use or apply</x:v>
      </x:c>
    </x:row>
    <x:row r="20">
      <x:c r="A20" s="38" t="str">
        <x:v>Bomb of Radiant</x:v>
      </x:c>
      <x:c r="B20" s="51" t="str">
        <x:v>Elemental Bombs</x:v>
      </x:c>
      <x:c r="C20" s="51" t="str">
        <x:v>Rare</x:v>
      </x:c>
      <x:c r="D20" s="51" t="n">
        <x:v>28</x:v>
      </x:c>
      <x:c r="E20" s="51" t="str">
        <x:v>Radiant</x:v>
      </x:c>
      <x:c r="F20" s="51" t="str">
        <x:v>10-foot radius burst</x:v>
      </x:c>
      <x:c r="G20" s="51" t="str">
        <x:v>Dexterity</x:v>
      </x:c>
      <x:c r="H20" s="51" t="str">
        <x:v>Creatures in a 10-foot-radius burst make a Dexterity saving throw, taking 3d6 radiant damage on a failed save or half as much on a success.</x:v>
      </x:c>
      <x:c r="I20" s="39" t="str">
        <x:v>Bonus Action to use or apply</x:v>
      </x:c>
    </x:row>
    <x:row r="21">
      <x:c r="A21" s="40" t="str">
        <x:v>Bomb of Thunder</x:v>
      </x:c>
      <x:c r="B21" s="52" t="str">
        <x:v>Elemental Bombs</x:v>
      </x:c>
      <x:c r="C21" s="52" t="str">
        <x:v>Uncommon</x:v>
      </x:c>
      <x:c r="D21" s="52" t="n">
        <x:v>22</x:v>
      </x:c>
      <x:c r="E21" s="52" t="str">
        <x:v>Thunder</x:v>
      </x:c>
      <x:c r="F21" s="52" t="str">
        <x:v>10-foot radius burst</x:v>
      </x:c>
      <x:c r="G21" s="52" t="str">
        <x:v>Constitution</x:v>
      </x:c>
      <x:c r="H21" s="52" t="str">
        <x:v>Creatures in a 10-foot-radius burst make a Constitution saving throw, taking 2d6 thunder damage on a failed save or half as much on a success.</x:v>
      </x:c>
      <x:c r="I21" s="41" t="str">
        <x:v>Bonus Action to use or apply</x:v>
      </x:c>
    </x:row>
  </x:sheetData>
  <x:pageMargins left="0.7" right="0.7" top="0.75" bottom="0.75" header="0.3" footer="0.3"/>
  <x:tableParts count="1">
    <x:tablePart xmlns:r="http://schemas.openxmlformats.org/officeDocument/2006/relationships" r:id="R65903682890d45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5" t="str">
        <x:v>Bomb &amp; Alchemy Save DC Calculator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6" t="str">
        <x:v>Input</x:v>
      </x:c>
      <x:c r="B4" s="27" t="str">
        <x:v>Value</x:v>
      </x:c>
      <x:c r="D4" s="12" t="str">
        <x:v>Formula</x:v>
      </x:c>
      <x:c r="E4" s="12"/>
      <x:c r="F4" s="12"/>
    </x:row>
    <x:row r="5">
      <x:c r="A5" s="28" t="str">
        <x:v>Crafter Proficiency</x:v>
      </x:c>
      <x:c r="B5" s="29" t="n">
        <x:v>2</x:v>
      </x:c>
      <x:c r="D5" s="61" t="str">
        <x:v>Save DC = 8 + (Crafter Proficiency × 2) + ingredient Save DC bonuses + 1 if the craft roll beats the Craft DC by 4 or more.</x:v>
      </x:c>
      <x:c r="E5" s="62"/>
      <x:c r="F5" s="63"/>
    </x:row>
    <x:row r="6">
      <x:c r="A6" s="28" t="str">
        <x:v>Ingredient Save DC Bonus</x:v>
      </x:c>
      <x:c r="B6" s="29" t="n">
        <x:v>0</x:v>
      </x:c>
      <x:c r="D6" s="38"/>
      <x:c r="E6" s="51"/>
      <x:c r="F6" s="39"/>
    </x:row>
    <x:row r="7">
      <x:c r="A7" s="28" t="str">
        <x:v>Craft DC</x:v>
      </x:c>
      <x:c r="B7" s="29" t="n">
        <x:v>22</x:v>
      </x:c>
      <x:c r="D7" s="40"/>
      <x:c r="E7" s="52"/>
      <x:c r="F7" s="41"/>
    </x:row>
    <x:row r="8">
      <x:c r="A8" s="28" t="str">
        <x:v>Craft Roll Total</x:v>
      </x:c>
      <x:c r="B8" s="29" t="n">
        <x:v>22</x:v>
      </x:c>
    </x:row>
    <x:row r="9">
      <x:c r="A9" s="30" t="str">
        <x:v>Beat Craft DC by 4+?</x:v>
      </x:c>
      <x:c r="B9" s="31" t="str">
        <x:f>IF(B8&gt;=B7+4,"Yes","No")</x:f>
        <x:v>No</x:v>
      </x:c>
    </x:row>
    <x:row r="11">
      <x:c r="A11" s="26" t="str">
        <x:v>Result</x:v>
      </x:c>
      <x:c r="B11" s="27" t="str">
        <x:v>Value</x:v>
      </x:c>
    </x:row>
    <x:row r="12">
      <x:c r="A12" s="28" t="str">
        <x:v>Base 8</x:v>
      </x:c>
      <x:c r="B12" s="29" t="n">
        <x:v>8</x:v>
      </x:c>
    </x:row>
    <x:row r="13">
      <x:c r="A13" s="28" t="str">
        <x:v>Proficiency contribution</x:v>
      </x:c>
      <x:c r="B13" s="29" t="n">
        <x:f>B5*2</x:f>
        <x:v>4</x:v>
      </x:c>
    </x:row>
    <x:row r="14">
      <x:c r="A14" s="28" t="str">
        <x:v>Craft-margin bonus</x:v>
      </x:c>
      <x:c r="B14" s="29" t="n">
        <x:f>IF(B8&gt;=B7+4,1,0)</x:f>
        <x:v>0</x:v>
      </x:c>
    </x:row>
    <x:row r="15">
      <x:c r="A15" s="30" t="str">
        <x:v>Final Save DC</x:v>
      </x:c>
      <x:c r="B15" s="57" t="n">
        <x:f>B12+B13+B6+B14</x:f>
        <x:v>12</x:v>
      </x:c>
    </x:row>
  </x:sheetData>
  <x:mergeCells>
    <x:mergeCell ref="A1:F2"/>
    <x:mergeCell ref="D4:F4"/>
    <x:mergeCell ref="D5:F7"/>
  </x:mergeCells>
  <x:dataValidations count="3">
    <x:dataValidation operator="between" sqref="B5">
      <x:formula1>0</x:formula1>
      <x:formula2>10</x:formula2>
    </x:dataValidation>
    <x:dataValidation operator="between" sqref="B6">
      <x:formula1>0</x:formula1>
      <x:formula2>20</x:formula2>
    </x:dataValidation>
    <x:dataValidation operator="between" sqref="B7:B8">
      <x:formula1>0</x:formula1>
      <x:formula2>100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9" hidden="0" customWidth="1"/>
    <x:col min="3" max="3" width="16" hidden="0" customWidth="1"/>
    <x:col min="4" max="4" width="22" hidden="0" customWidth="1"/>
    <x:col min="8" max="8" width="17" hidden="0" customWidth="1"/>
    <x:col min="9" max="9" width="17" hidden="0" customWidth="1"/>
    <x:col min="10" max="10" width="16" hidden="0" customWidth="1"/>
  </x:cols>
  <x:sheetData>
    <x:row r="1">
      <x:c r="A1" s="5" t="str">
        <x:v>Interactive Brew Quality &amp; Craft DC Calculator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6" t="str">
        <x:v>Selection</x:v>
      </x:c>
      <x:c r="B4" s="46" t="str">
        <x:v>Rarity</x:v>
      </x:c>
      <x:c r="C4" s="46" t="str">
        <x:v>Quality Steps</x:v>
      </x:c>
      <x:c r="D4" s="27" t="str">
        <x:v>Effective DC Reduction</x:v>
      </x:c>
      <x:c r="H4" s="26" t="str">
        <x:v>Rarity</x:v>
      </x:c>
      <x:c r="I4" s="46" t="str">
        <x:v>DC Reduction</x:v>
      </x:c>
      <x:c r="J4" s="27" t="str">
        <x:v>Base Craft DC</x:v>
      </x:c>
    </x:row>
    <x:row r="5">
      <x:c r="A5" s="28" t="str">
        <x:v>Formula</x:v>
      </x:c>
      <x:c r="B5" s="47" t="str">
        <x:v>Common</x:v>
      </x:c>
      <x:c r="C5" s="47" t="n">
        <x:v>0</x:v>
      </x:c>
      <x:c r="D5" s="29" t="n">
        <x:v>0</x:v>
      </x:c>
      <x:c r="H5" s="28" t="str">
        <x:v>Common</x:v>
      </x:c>
      <x:c r="I5" s="47" t="n">
        <x:v>0</x:v>
      </x:c>
      <x:c r="J5" s="29" t="n">
        <x:v>16</x:v>
      </x:c>
    </x:row>
    <x:row r="6">
      <x:c r="A6" s="28" t="str">
        <x:v>Core Ingredient 1</x:v>
      </x:c>
      <x:c r="B6" s="47" t="str">
        <x:v>Common</x:v>
      </x:c>
      <x:c r="C6" s="47" t="n">
        <x:f>MAX(0,MATCH(B6,$H$5:$H$9,0)-MATCH($B$5,$H$5:$H$9,0))</x:f>
        <x:v>0</x:v>
      </x:c>
      <x:c r="D6" s="29" t="n">
        <x:f>MIN(INDEX($I$5:$I$9,MATCH(B6,$H$5:$H$9,0)),INDEX($I$5:$I$9,MATCH($B$12,$H$5:$H$9,0)))</x:f>
        <x:v>0</x:v>
      </x:c>
      <x:c r="H6" s="28" t="str">
        <x:v>Uncommon</x:v>
      </x:c>
      <x:c r="I6" s="47" t="n">
        <x:v>2</x:v>
      </x:c>
      <x:c r="J6" s="29" t="n">
        <x:v>22</x:v>
      </x:c>
    </x:row>
    <x:row r="7">
      <x:c r="A7" s="28" t="str">
        <x:v>Core Ingredient 2</x:v>
      </x:c>
      <x:c r="B7" s="47" t="str">
        <x:v>Common</x:v>
      </x:c>
      <x:c r="C7" s="47" t="n">
        <x:f>MAX(0,MATCH(B7,$H$5:$H$9,0)-MATCH($B$5,$H$5:$H$9,0))</x:f>
        <x:v>0</x:v>
      </x:c>
      <x:c r="D7" s="29" t="n">
        <x:f>MIN(INDEX($I$5:$I$9,MATCH(B7,$H$5:$H$9,0)),INDEX($I$5:$I$9,MATCH($B$12,$H$5:$H$9,0)))</x:f>
        <x:v>0</x:v>
      </x:c>
      <x:c r="H7" s="28" t="str">
        <x:v>Rare</x:v>
      </x:c>
      <x:c r="I7" s="47" t="n">
        <x:v>4</x:v>
      </x:c>
      <x:c r="J7" s="29" t="n">
        <x:v>28</x:v>
      </x:c>
    </x:row>
    <x:row r="8">
      <x:c r="A8" s="30" t="str">
        <x:v>Core Ingredient 3</x:v>
      </x:c>
      <x:c r="B8" s="48" t="str">
        <x:v>Common</x:v>
      </x:c>
      <x:c r="C8" s="48" t="n">
        <x:f>MAX(0,MATCH(B8,$H$5:$H$9,0)-MATCH($B$5,$H$5:$H$9,0))</x:f>
        <x:v>0</x:v>
      </x:c>
      <x:c r="D8" s="31" t="n">
        <x:f>MIN(INDEX($I$5:$I$9,MATCH(B8,$H$5:$H$9,0)),INDEX($I$5:$I$9,MATCH($B$12,$H$5:$H$9,0)))</x:f>
        <x:v>0</x:v>
      </x:c>
      <x:c r="H8" s="28" t="str">
        <x:v>Very Rare</x:v>
      </x:c>
      <x:c r="I8" s="47" t="n">
        <x:v>6</x:v>
      </x:c>
      <x:c r="J8" s="29" t="n">
        <x:v>34</x:v>
      </x:c>
    </x:row>
    <x:row r="9">
      <x:c r="H9" s="30" t="str">
        <x:v>Legendary</x:v>
      </x:c>
      <x:c r="I9" s="48" t="n">
        <x:v>8</x:v>
      </x:c>
      <x:c r="J9" s="31" t="n">
        <x:v>40</x:v>
      </x:c>
    </x:row>
    <x:row r="10">
      <x:c r="A10" s="26" t="str">
        <x:v>Result</x:v>
      </x:c>
      <x:c r="B10" s="27" t="str">
        <x:v>Value</x:v>
      </x:c>
    </x:row>
    <x:row r="11">
      <x:c r="A11" s="28" t="str">
        <x:v>Total Quality Steps</x:v>
      </x:c>
      <x:c r="B11" s="29" t="n">
        <x:f>SUM(C6:C8)</x:f>
        <x:v>0</x:v>
      </x:c>
    </x:row>
    <x:row r="12">
      <x:c r="A12" s="28" t="str">
        <x:v>Finished Brew Rarity</x:v>
      </x:c>
      <x:c r="B12" s="29" t="str">
        <x:f>INDEX($H$5:$H$9,MIN(5,MATCH(B5,$H$5:$H$9,0)+INT(B11/3)))</x:f>
        <x:v>Common</x:v>
      </x:c>
    </x:row>
    <x:row r="13">
      <x:c r="A13" s="28" t="str">
        <x:v>Finished Rarity Base DC</x:v>
      </x:c>
      <x:c r="B13" s="29" t="n">
        <x:f>INDEX($J$5:$J$9,MATCH(B12,$H$5:$H$9,0))</x:f>
        <x:v>16</x:v>
      </x:c>
    </x:row>
    <x:row r="14">
      <x:c r="A14" s="28" t="str">
        <x:v>Core Ingredient Reduction</x:v>
      </x:c>
      <x:c r="B14" s="29" t="n">
        <x:f>SUM(D6:D8)</x:f>
        <x:v>0</x:v>
      </x:c>
    </x:row>
    <x:row r="15">
      <x:c r="A15" s="28" t="str">
        <x:v>Explicit Fourth-Slot DC Reduction</x:v>
      </x:c>
      <x:c r="B15" s="29" t="n">
        <x:v>0</x:v>
      </x:c>
    </x:row>
    <x:row r="16">
      <x:c r="A16" s="28" t="str">
        <x:v>Final Craft DC</x:v>
      </x:c>
      <x:c r="B16" s="29" t="n">
        <x:f>MAX(10,B13-B14-B15)</x:f>
        <x:v>16</x:v>
      </x:c>
    </x:row>
    <x:row r="17">
      <x:c r="A17" s="30" t="str">
        <x:v>Rarity Increase</x:v>
      </x:c>
      <x:c r="B17" s="31" t="n">
        <x:f>MATCH(B12,$H$5:$H$9,0)-MATCH(B5,$H$5:$H$9,0)</x:f>
        <x:v>0</x:v>
      </x:c>
    </x:row>
  </x:sheetData>
  <x:mergeCells>
    <x:mergeCell ref="A1:F2"/>
  </x:mergeCells>
  <x:dataValidations count="2">
    <x:dataValidation type="list" sqref="B5:B8">
      <x:formula1>"Common,Uncommon,Rare,Very Rare,Legendary"</x:formula1>
    </x:dataValidation>
    <x:dataValidation operator="between" sqref="B15">
      <x:formula1>0</x:formula1>
      <x:formula2>20</x:formula2>
    </x:dataValidation>
  </x:dataValidations>
  <x:pageMargins left="0.7" right="0.7" top="0.75" bottom="0.75" header="0.3" footer="0.3"/>
</x:worksheet>
</file>