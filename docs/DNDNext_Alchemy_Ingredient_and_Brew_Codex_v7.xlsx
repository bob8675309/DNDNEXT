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a53114298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39b7b4fa2014681"/>
    <x:sheet xmlns:r="http://schemas.openxmlformats.org/officeDocument/2006/relationships" name="Ingredients" sheetId="2" r:id="R65d9df36c26b4f51"/>
    <x:sheet xmlns:r="http://schemas.openxmlformats.org/officeDocument/2006/relationships" name="Brews" sheetId="3" r:id="R1590d51702ba40e0"/>
    <x:sheet xmlns:r="http://schemas.openxmlformats.org/officeDocument/2006/relationships" name="Shared Formula Families" sheetId="4" r:id="R837ea5f9ed0546a1"/>
    <x:sheet xmlns:r="http://schemas.openxmlformats.org/officeDocument/2006/relationships" name="Condition Riders &amp; Immunities" sheetId="5" r:id="R669f98734a364a9c"/>
    <x:sheet xmlns:r="http://schemas.openxmlformats.org/officeDocument/2006/relationships" name="Brew Quality" sheetId="6" r:id="R51651cbd563445a1"/>
    <x:sheet xmlns:r="http://schemas.openxmlformats.org/officeDocument/2006/relationships" name="Family Guide" sheetId="7" r:id="Ra24973a51ea84e1e"/>
    <x:sheet xmlns:r="http://schemas.openxmlformats.org/officeDocument/2006/relationships" name="Attribute Guide" sheetId="8" r:id="Re3cf455aa2b5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8FAFC"/>
      <x:name val="Carlito"/>
    </x:font>
    <x:font>
      <x:b/>
      <x:sz val="11"/>
      <x:color rgb="FACC1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2033"/>
      </x:patternFill>
    </x:fill>
    <x:fill>
      <x:patternFill patternType="solid">
        <x:fgColor rgb="24324A"/>
      </x:patternFill>
    </x:fill>
    <x:fill>
      <x:patternFill patternType="solid">
        <x:fgColor rgb="1F3A5F"/>
      </x:patternFill>
    </x:fill>
  </x:fills>
  <x:borders count="18">
    <x:border/>
    <x:border/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top>
        <x:color rgb="475569"/>
      </x:top>
    </x:border>
    <x:border>
      <x:bottom>
        <x:color rgb="475569"/>
      </x:bottom>
    </x:border>
    <x:border>
      <x:top>
        <x:color rgb="475569"/>
      </x:top>
    </x:border>
    <x:border>
      <x:bottom>
        <x:color rgb="475569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14" xfId="0" applyNumberFormat="1" applyFont="1" applyFill="1" applyBorder="1"/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/>
    <x:xf numFmtId="0" fontId="3" fillId="4" borderId="16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b/>
        <x:color rgb="111827"/>
      </x:font>
      <x:fill>
        <x:patternFill patternType="solid">
          <x:bgColor rgb="E2E8F0"/>
        </x:patternFill>
      </x:fill>
    </x:dxf>
    <x:dxf>
      <x:font>
        <x:b/>
        <x:color rgb="111827"/>
      </x:font>
      <x:fill>
        <x:patternFill patternType="solid">
          <x:bgColor rgb="BBF7D0"/>
        </x:patternFill>
      </x:fill>
    </x:dxf>
    <x:dxf>
      <x:font>
        <x:b/>
        <x:color rgb="111827"/>
      </x:font>
      <x:fill>
        <x:patternFill patternType="solid">
          <x:bgColor rgb="BFDBFE"/>
        </x:patternFill>
      </x:fill>
    </x:dxf>
    <x:dxf>
      <x:font>
        <x:b/>
        <x:color rgb="111827"/>
      </x:font>
      <x:fill>
        <x:patternFill patternType="solid">
          <x:bgColor rgb="DDD6FE"/>
        </x:patternFill>
      </x:fill>
    </x:dxf>
    <x:dxf>
      <x:font>
        <x:b/>
        <x:color rgb="111827"/>
      </x:font>
      <x:fill>
        <x:patternFill patternType="solid">
          <x:bgColor rgb="FDE68A"/>
        </x:patternFill>
      </x:fill>
    </x:dxf>
    <x:dxf>
      <x:font>
        <x:b/>
        <x:color rgb="111827"/>
      </x:font>
      <x:fill>
        <x:patternFill patternType="solid">
          <x:bgColor rgb="DBEAFE"/>
        </x:patternFill>
      </x:fill>
    </x:dxf>
    <x:dxf>
      <x:font>
        <x:b/>
        <x:color rgb="111827"/>
      </x:font>
      <x:fill>
        <x:patternFill patternType="solid">
          <x:bgColor rgb="FECACA"/>
        </x:patternFill>
      </x:fill>
    </x:dxf>
    <x:dxf>
      <x:font>
        <x:b/>
        <x:color rgb="111827"/>
      </x:font>
      <x:fill>
        <x:patternFill patternType="solid">
          <x:bgColor rgb="FED7AA"/>
        </x:patternFill>
      </x:fill>
    </x:dxf>
    <x:dxf>
      <x:font>
        <x:b/>
        <x:color rgb="111827"/>
      </x:font>
      <x:fill>
        <x:patternFill patternType="solid">
          <x:bgColor rgb="D1FAE5"/>
        </x:patternFill>
      </x:fill>
    </x:dxf>
    <x:dxf>
      <x:font>
        <x:b/>
        <x:color rgb="111827"/>
      </x:font>
      <x:fill>
        <x:patternFill patternType="solid">
          <x:bgColor rgb="E2E8F0"/>
        </x:patternFill>
      </x:fill>
    </x:dxf>
    <x:dxf>
      <x:font>
        <x:b/>
        <x:color rgb="111827"/>
      </x:font>
      <x:fill>
        <x:patternFill patternType="solid">
          <x:bgColor rgb="BBF7D0"/>
        </x:patternFill>
      </x:fill>
    </x:dxf>
    <x:dxf>
      <x:font>
        <x:b/>
        <x:color rgb="111827"/>
      </x:font>
      <x:fill>
        <x:patternFill patternType="solid">
          <x:bgColor rgb="BFDBFE"/>
        </x:patternFill>
      </x:fill>
    </x:dxf>
    <x:dxf>
      <x:font>
        <x:b/>
        <x:color rgb="111827"/>
      </x:font>
      <x:fill>
        <x:patternFill patternType="solid">
          <x:bgColor rgb="DDD6FE"/>
        </x:patternFill>
      </x:fill>
    </x:dxf>
    <x:dxf>
      <x:font>
        <x:b/>
        <x:color rgb="111827"/>
      </x:font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0bc834d8743be" /><Relationship Type="http://schemas.openxmlformats.org/officeDocument/2006/relationships/theme" Target="/xl/theme/theme1.xml" Id="R8abd267fc1834b71" /><Relationship Type="http://schemas.openxmlformats.org/officeDocument/2006/relationships/sharedStrings" Target="/xl/sharedStrings.xml" Id="Re6524d0978334bc7" /><Relationship Type="http://schemas.openxmlformats.org/officeDocument/2006/relationships/worksheet" Target="/xl/worksheets/sheet1.xml" Id="Re39b7b4fa2014681" /><Relationship Type="http://schemas.openxmlformats.org/officeDocument/2006/relationships/worksheet" Target="/xl/worksheets/sheet2.xml" Id="R65d9df36c26b4f51" /><Relationship Type="http://schemas.openxmlformats.org/officeDocument/2006/relationships/worksheet" Target="/xl/worksheets/sheet3.xml" Id="R1590d51702ba40e0" /><Relationship Type="http://schemas.openxmlformats.org/officeDocument/2006/relationships/worksheet" Target="/xl/worksheets/sheet4.xml" Id="R837ea5f9ed0546a1" /><Relationship Type="http://schemas.openxmlformats.org/officeDocument/2006/relationships/worksheet" Target="/xl/worksheets/sheet5.xml" Id="R669f98734a364a9c" /><Relationship Type="http://schemas.openxmlformats.org/officeDocument/2006/relationships/worksheet" Target="/xl/worksheets/sheet6.xml" Id="R51651cbd563445a1" /><Relationship Type="http://schemas.openxmlformats.org/officeDocument/2006/relationships/worksheet" Target="/xl/worksheets/sheet7.xml" Id="Ra24973a51ea84e1e" /><Relationship Type="http://schemas.openxmlformats.org/officeDocument/2006/relationships/worksheet" Target="/xl/worksheets/sheet8.xml" Id="Re3cf455aa2b548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bf41b3292b4d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Brews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'Start Here'!$D$6:$D$9</c:f>
              <c:strCache>
                <c:ptCount val="0"/>
              </c:strCache>
            </c:strRef>
          </c:cat>
          <c:val>
            <c:numRef>
              <c:f>'Start Here'!$E$6:$E$9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bf41b3292b4d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chemyIngredientsV7" displayName="AlchemyIngredientsV7" ref="A1:V202" headerRowCount="1">
  <x:tableColumns count="22">
    <x:tableColumn id="1" name="Slot"/>
    <x:tableColumn id="2" name="Family"/>
    <x:tableColumn id="3" name="Rarity"/>
    <x:tableColumn id="4" name="Ingredient"/>
    <x:tableColumn id="5" name="Normal Craft DC Reduction"/>
    <x:tableColumn id="6" name="Effect %"/>
    <x:tableColumn id="7" name="Duration %"/>
    <x:tableColumn id="8" name="Area / Range %"/>
    <x:tableColumn id="9" name="Extra Doses"/>
    <x:tableColumn id="10" name="Save DC"/>
    <x:tableColumn id="11" name="Die Step"/>
    <x:tableColumn id="12" name="Type Direction"/>
    <x:tableColumn id="13" name="Condition Rider"/>
    <x:tableColumn id="14" name="Rider Save"/>
    <x:tableColumn id="15" name="Rider Duration"/>
    <x:tableColumn id="16" name="Repeat / Escape"/>
    <x:tableColumn id="17" name="Rider Active In"/>
    <x:tableColumn id="18" name="Rider Budget"/>
    <x:tableColumn id="19" name="Sets Immunity"/>
    <x:tableColumn id="20" name="Minimum Brew Rarity"/>
    <x:tableColumn id="21" name="Immunity Formula Section"/>
    <x:tableColumn id="22" name="Physical 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AlchemyBrewsV7" displayName="AlchemyBrewsV7" ref="A1:V55" headerRowCount="1">
  <x:tableColumns count="22">
    <x:tableColumn id="1" name="Type"/>
    <x:tableColumn id="2" name="Brew"/>
    <x:tableColumn id="3" name="Formula Family"/>
    <x:tableColumn id="4" name="Theme Source"/>
    <x:tableColumn id="5" name="Formula Rarity"/>
    <x:tableColumn id="6" name="Base Craft DC"/>
    <x:tableColumn id="7" name="Core Ingredient 1"/>
    <x:tableColumn id="8" name="Core Ingredient 2"/>
    <x:tableColumn id="9" name="Core Ingredient 3"/>
    <x:tableColumn id="10" name="Three-Ingredient Formula"/>
    <x:tableColumn id="11" name="Fourth Slot"/>
    <x:tableColumn id="12" name="Required?"/>
    <x:tableColumn id="13" name="Base Duration"/>
    <x:tableColumn id="14" name="Base Effect"/>
    <x:tableColumn id="15" name="Condition Riders"/>
    <x:tableColumn id="16" name="Ends Conditions"/>
    <x:tableColumn id="17" name="Grants Immunity"/>
    <x:tableColumn id="18" name="Rider Save"/>
    <x:tableColumn id="19" name="Rider Duration"/>
    <x:tableColumn id="20" name="Repeat / Escape"/>
    <x:tableColumn id="21" name="Use"/>
    <x:tableColumn id="2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lchemySharedFormulaFamiliesV7" displayName="AlchemySharedFormulaFamiliesV7" ref="A1:H5" headerRowCount="1">
  <x:tableColumns count="8">
    <x:tableColumn id="1" name="Formula Family"/>
    <x:tableColumn id="2" name="Current Variants"/>
    <x:tableColumn id="3" name="Core Recipe Pattern"/>
    <x:tableColumn id="4" name="What Sets X"/>
    <x:tableColumn id="5" name="Section"/>
    <x:tableColumn id="6" name="Base Formula Rarity"/>
    <x:tableColumn id="7" name="Fourth Slot"/>
    <x:tableColumn id="8" name="Consolidation Note"/>
  </x:tableColumns>
  <x:tableStyleInfo name="TableStyleMedium2" showRowStripes="1"/>
</x:table>
</file>

<file path=xl/tables/table4.xml><?xml version="1.0" encoding="utf-8"?>
<x:table xmlns:x="http://schemas.openxmlformats.org/spreadsheetml/2006/main" id="4" name="AlchemyConditionsV7" displayName="AlchemyConditionsV7" ref="A1:J10" headerRowCount="1">
  <x:tableColumns count="10">
    <x:tableColumn id="1" name="Condition"/>
    <x:tableColumn id="2" name="Core Family Rider Source"/>
    <x:tableColumn id="3" name="Fourth-Slot Rider Sources"/>
    <x:tableColumn id="4" name="Poison / Bomb Formulas"/>
    <x:tableColumn id="5" name="Immunity Counteragent"/>
    <x:tableColumn id="6" name="Counteragent Rarity"/>
    <x:tableColumn id="7" name="Minimum Finished Rarity"/>
    <x:tableColumn id="8" name="Finished Immunity Item"/>
    <x:tableColumn id="9" name="Shared Formula"/>
    <x:tableColumn id="10" name="Immunity Effect"/>
  </x:tableColumns>
  <x:tableStyleInfo name="TableStyleMedium2" showRowStripes="1"/>
</x:table>
</file>

<file path=xl/tables/table5.xml><?xml version="1.0" encoding="utf-8"?>
<x:table xmlns:x="http://schemas.openxmlformats.org/spreadsheetml/2006/main" id="5" name="AlchemyFamilyGuideV7" displayName="AlchemyFamilyGuideV7" ref="A1:F10" headerRowCount="1">
  <x:tableColumns count="6">
    <x:tableColumn id="1" name="Family"/>
    <x:tableColumn id="2" name="Identity"/>
    <x:tableColumn id="3" name="Major Sources"/>
    <x:tableColumn id="4" name="Moderate Sources"/>
    <x:tableColumn id="5" name="Minor / Special Sources"/>
    <x:tableColumn id="6" name="v7 Condition Rider Source"/>
  </x:tableColumns>
  <x:tableStyleInfo name="TableStyleMedium2" showRowStripes="1"/>
</x:table>
</file>

<file path=xl/tables/table6.xml><?xml version="1.0" encoding="utf-8"?>
<x:table xmlns:x="http://schemas.openxmlformats.org/spreadsheetml/2006/main" id="6" name="AlchemyAttributeGuideV7" displayName="AlchemyAttributeGuideV7" ref="A1:C13" headerRowCount="1">
  <x:tableColumns count="3">
    <x:tableColumn id="1" name="Attribute"/>
    <x:tableColumn id="2" name="Player-Facing Display"/>
    <x:tableColumn id="3" name="What It D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816bd50c5949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ea766e412648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fbf164efe2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057ed3dc65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07ae715ffa40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2ba879b24534d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9c7301f550849d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8" hidden="0" customWidth="1"/>
    <x:col min="4" max="4" width="18" hidden="0" customWidth="1"/>
    <x:col min="5" max="5" width="12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5" t="str">
        <x:v>DNDNext Alchemy Ingredient &amp; Brew Codex v7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2" t="str">
        <x:v>v7 Rules &amp; Design Direction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36" t="str">
        <x:v>Rule</x:v>
      </x:c>
      <x:c r="B5" s="37" t="str">
        <x:v>Player-facing explanation</x:v>
      </x:c>
      <x:c r="D5" s="36" t="str">
        <x:v>Brew Type</x:v>
      </x:c>
      <x:c r="E5" s="37" t="str">
        <x:v>Count</x:v>
      </x:c>
      <x:c r="G5" s="36" t="str">
        <x:v>Core Family</x:v>
      </x:c>
      <x:c r="H5" s="65" t="str">
        <x:v>Common</x:v>
      </x:c>
      <x:c r="I5" s="65" t="str">
        <x:v>Uncommon</x:v>
      </x:c>
      <x:c r="J5" s="65" t="str">
        <x:v>Rare</x:v>
      </x:c>
      <x:c r="K5" s="37" t="str">
        <x:v>Very Rare</x:v>
      </x:c>
    </x:row>
    <x:row r="6">
      <x:c r="A6" s="48" t="str">
        <x:v>Shared immunity elixir</x:v>
      </x:c>
      <x:c r="B6" s="49" t="str">
        <x:v>Elixir of X Immunity uses Root + Flower + Mineral / Salt / Ash. A required fourth-slot condition counteragent sets X.</x:v>
      </x:c>
      <x:c r="D6" s="18" t="str">
        <x:v>Potions</x:v>
      </x:c>
      <x:c r="E6" s="19" t="n">
        <x:v>30</x:v>
      </x:c>
      <x:c r="G6" s="18" t="str">
        <x:v>Flower</x:v>
      </x:c>
      <x:c r="H6" s="57" t="n">
        <x:v>5</x:v>
      </x:c>
      <x:c r="I6" s="57" t="n">
        <x:v>5</x:v>
      </x:c>
      <x:c r="J6" s="57" t="n">
        <x:v>4</x:v>
      </x:c>
      <x:c r="K6" s="19" t="n">
        <x:v>4</x:v>
      </x:c>
    </x:row>
    <x:row r="7">
      <x:c r="A7" s="48" t="str">
        <x:v>Immediate cure + immunity</x:v>
      </x:c>
      <x:c r="B7" s="49" t="str">
        <x:v>The elixir immediately ends the selected condition if present and grants immunity to that condition for 1 hour.</x:v>
      </x:c>
      <x:c r="D7" s="18" t="str">
        <x:v>Poisons</x:v>
      </x:c>
      <x:c r="E7" s="19" t="n">
        <x:v>12</x:v>
      </x:c>
      <x:c r="G7" s="18" t="str">
        <x:v>Leaf / Vine</x:v>
      </x:c>
      <x:c r="H7" s="57" t="n">
        <x:v>5</x:v>
      </x:c>
      <x:c r="I7" s="57" t="n">
        <x:v>5</x:v>
      </x:c>
      <x:c r="J7" s="57" t="n">
        <x:v>4</x:v>
      </x:c>
      <x:c r="K7" s="19" t="n">
        <x:v>4</x:v>
      </x:c>
    </x:row>
    <x:row r="8">
      <x:c r="A8" s="48" t="str">
        <x:v>Condition rarity floor</x:v>
      </x:c>
      <x:c r="B8" s="49" t="str">
        <x:v>The chosen counteragent may raise minimum finished rarity and base Craft DC without adding Brew Quality Steps.</x:v>
      </x:c>
      <x:c r="D8" s="18" t="str">
        <x:v>Bombs</x:v>
      </x:c>
      <x:c r="E8" s="19" t="n">
        <x:v>5</x:v>
      </x:c>
      <x:c r="G8" s="18" t="str">
        <x:v>Mineral / Salt / Ash</x:v>
      </x:c>
      <x:c r="H8" s="57" t="n">
        <x:v>5</x:v>
      </x:c>
      <x:c r="I8" s="57" t="n">
        <x:v>5</x:v>
      </x:c>
      <x:c r="J8" s="57" t="n">
        <x:v>4</x:v>
      </x:c>
      <x:c r="K8" s="19" t="n">
        <x:v>4</x:v>
      </x:c>
    </x:row>
    <x:row r="9">
      <x:c r="A9" s="48" t="str">
        <x:v>Core-family riders</x:v>
      </x:c>
      <x:c r="B9" s="49" t="str">
        <x:v>One curated ingredient in every core family adds a thematic condition rider at no rarity-budget cost. It activates only in Poison or Bomb formulas.</x:v>
      </x:c>
      <x:c r="D9" s="20" t="str">
        <x:v>Elixirs</x:v>
      </x:c>
      <x:c r="E9" s="21" t="n">
        <x:v>7</x:v>
      </x:c>
      <x:c r="G9" s="18" t="str">
        <x:v>Moss / Lichen</x:v>
      </x:c>
      <x:c r="H9" s="57" t="n">
        <x:v>5</x:v>
      </x:c>
      <x:c r="I9" s="57" t="n">
        <x:v>5</x:v>
      </x:c>
      <x:c r="J9" s="57" t="n">
        <x:v>4</x:v>
      </x:c>
      <x:c r="K9" s="19" t="n">
        <x:v>4</x:v>
      </x:c>
    </x:row>
    <x:row r="10">
      <x:c r="A10" s="48" t="str">
        <x:v>Rare Die Step</x:v>
      </x:c>
      <x:c r="B10" s="49" t="str">
        <x:v>Dreamspore Morel, Oathroot, and Nightfang Cap are the intentionally scarce Rare Die step +1 ingredients.</x:v>
      </x:c>
      <x:c r="G10" s="18" t="str">
        <x:v>Mushroom</x:v>
      </x:c>
      <x:c r="H10" s="57" t="n">
        <x:v>5</x:v>
      </x:c>
      <x:c r="I10" s="57" t="n">
        <x:v>5</x:v>
      </x:c>
      <x:c r="J10" s="57" t="n">
        <x:v>4</x:v>
      </x:c>
      <x:c r="K10" s="19" t="n">
        <x:v>4</x:v>
      </x:c>
    </x:row>
    <x:row r="11">
      <x:c r="A11" s="50" t="str">
        <x:v>Shared formula families</x:v>
      </x:c>
      <x:c r="B11" s="51" t="str">
        <x:v>Potion of X Resistance, Elixir of X Ability, Poison of X Weakening, and Elixir of X Immunity are marked for future consolidation.</x:v>
      </x:c>
      <x:c r="G11" s="18" t="str">
        <x:v>Root</x:v>
      </x:c>
      <x:c r="H11" s="57" t="n">
        <x:v>5</x:v>
      </x:c>
      <x:c r="I11" s="57" t="n">
        <x:v>5</x:v>
      </x:c>
      <x:c r="J11" s="57" t="n">
        <x:v>4</x:v>
      </x:c>
      <x:c r="K11" s="19" t="n">
        <x:v>4</x:v>
      </x:c>
    </x:row>
    <x:row r="12">
      <x:c r="G12" s="18" t="str">
        <x:v>Sap / Resin</x:v>
      </x:c>
      <x:c r="H12" s="57" t="n">
        <x:v>5</x:v>
      </x:c>
      <x:c r="I12" s="57" t="n">
        <x:v>5</x:v>
      </x:c>
      <x:c r="J12" s="57" t="n">
        <x:v>4</x:v>
      </x:c>
      <x:c r="K12" s="19" t="n">
        <x:v>4</x:v>
      </x:c>
    </x:row>
    <x:row r="13">
      <x:c r="G13" s="18" t="str">
        <x:v>Thorn / Bark / Wood</x:v>
      </x:c>
      <x:c r="H13" s="57" t="n">
        <x:v>5</x:v>
      </x:c>
      <x:c r="I13" s="57" t="n">
        <x:v>5</x:v>
      </x:c>
      <x:c r="J13" s="57" t="n">
        <x:v>4</x:v>
      </x:c>
      <x:c r="K13" s="19" t="n">
        <x:v>4</x:v>
      </x:c>
    </x:row>
    <x:row r="14">
      <x:c r="G14" s="20" t="str">
        <x:v>Venom / Poison Plant</x:v>
      </x:c>
      <x:c r="H14" s="58" t="n">
        <x:v>5</x:v>
      </x:c>
      <x:c r="I14" s="58" t="n">
        <x:v>5</x:v>
      </x:c>
      <x:c r="J14" s="58" t="n">
        <x:v>4</x:v>
      </x:c>
      <x:c r="K14" s="21" t="n">
        <x:v>4</x:v>
      </x:c>
    </x:row>
  </x:sheetData>
  <x:mergeCells>
    <x:mergeCell ref="A1:K2"/>
    <x:mergeCell ref="A4:K4"/>
  </x:mergeCells>
  <x:pageMargins left="0.7" right="0.7" top="0.75" bottom="0.75" header="0.3" footer="0.3"/>
  <x:drawing xmlns:r="http://schemas.openxmlformats.org/officeDocument/2006/relationships" r:id="Rf7816bd50c5949d0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27" hidden="0" customWidth="1"/>
    <x:col min="5" max="5" width="20" hidden="0" customWidth="1"/>
    <x:col min="6" max="6" width="10" hidden="0" customWidth="1"/>
    <x:col min="7" max="7" width="11" hidden="0" customWidth="1"/>
    <x:col min="8" max="8" width="14" hidden="0" customWidth="1"/>
    <x:col min="9" max="9" width="11" hidden="0" customWidth="1"/>
    <x:col min="10" max="10" width="9" hidden="0" customWidth="1"/>
    <x:col min="11" max="11" width="9" hidden="0" customWidth="1"/>
    <x:col min="12" max="12" width="15" hidden="0" customWidth="1"/>
    <x:col min="13" max="13" width="17" hidden="0" customWidth="1"/>
    <x:col min="14" max="14" width="15" hidden="0" customWidth="1"/>
    <x:col min="15" max="15" width="18" hidden="0" customWidth="1"/>
    <x:col min="16" max="16" width="20" hidden="0" customWidth="1"/>
    <x:col min="17" max="17" width="18" hidden="0" customWidth="1"/>
    <x:col min="18" max="18" width="16" hidden="0" customWidth="1"/>
    <x:col min="19" max="19" width="18" hidden="0" customWidth="1"/>
    <x:col min="20" max="20" width="18" hidden="0" customWidth="1"/>
    <x:col min="21" max="21" width="18" hidden="0" customWidth="1"/>
    <x:col min="22" max="22" width="58" hidden="0" customWidth="1"/>
  </x:cols>
  <x:sheetData>
    <x:row r="1">
      <x:c r="A1" s="36" t="str">
        <x:v>Slot</x:v>
      </x:c>
      <x:c r="B1" s="65" t="str">
        <x:v>Family</x:v>
      </x:c>
      <x:c r="C1" s="65" t="str">
        <x:v>Rarity</x:v>
      </x:c>
      <x:c r="D1" s="65" t="str">
        <x:v>Ingredient</x:v>
      </x:c>
      <x:c r="E1" s="65" t="str">
        <x:v>Normal Craft DC Reduction</x:v>
      </x:c>
      <x:c r="F1" s="65" t="str">
        <x:v>Effect %</x:v>
      </x:c>
      <x:c r="G1" s="65" t="str">
        <x:v>Duration %</x:v>
      </x:c>
      <x:c r="H1" s="65" t="str">
        <x:v>Area / Range %</x:v>
      </x:c>
      <x:c r="I1" s="65" t="str">
        <x:v>Extra Doses</x:v>
      </x:c>
      <x:c r="J1" s="65" t="str">
        <x:v>Save DC</x:v>
      </x:c>
      <x:c r="K1" s="65" t="str">
        <x:v>Die Step</x:v>
      </x:c>
      <x:c r="L1" s="65" t="str">
        <x:v>Type Direction</x:v>
      </x:c>
      <x:c r="M1" s="65" t="str">
        <x:v>Condition Rider</x:v>
      </x:c>
      <x:c r="N1" s="65" t="str">
        <x:v>Rider Save</x:v>
      </x:c>
      <x:c r="O1" s="65" t="str">
        <x:v>Rider Duration</x:v>
      </x:c>
      <x:c r="P1" s="65" t="str">
        <x:v>Repeat / Escape</x:v>
      </x:c>
      <x:c r="Q1" s="65" t="str">
        <x:v>Rider Active In</x:v>
      </x:c>
      <x:c r="R1" s="65" t="str">
        <x:v>Rider Budget</x:v>
      </x:c>
      <x:c r="S1" s="65" t="str">
        <x:v>Sets Immunity</x:v>
      </x:c>
      <x:c r="T1" s="65" t="str">
        <x:v>Minimum Brew Rarity</x:v>
      </x:c>
      <x:c r="U1" s="65" t="str">
        <x:v>Immunity Formula Section</x:v>
      </x:c>
      <x:c r="V1" s="37" t="str">
        <x:v>Physical Description</x:v>
      </x:c>
    </x:row>
    <x:row r="2">
      <x:c r="A2" s="48" t="str">
        <x:v>Core</x:v>
      </x:c>
      <x:c r="B2" s="71" t="str">
        <x:v>Mushroom</x:v>
      </x:c>
      <x:c r="C2" s="71" t="str">
        <x:v>Common</x:v>
      </x:c>
      <x:c r="D2" s="71" t="str">
        <x:v>Bramblecup Fungus</x:v>
      </x:c>
      <x:c r="E2" s="71" t="n">
        <x:v>0</x:v>
      </x:c>
      <x:c r="F2" s="71" t="n">
        <x:v>25</x:v>
      </x:c>
      <x:c r="G2" s="71" t="n">
        <x:v>0</x:v>
      </x:c>
      <x:c r="H2" s="71" t="n">
        <x:v>0</x:v>
      </x:c>
      <x:c r="I2" s="71" t="n">
        <x:v>0</x:v>
      </x:c>
      <x:c r="J2" s="71" t="n">
        <x:v>0</x:v>
      </x:c>
      <x:c r="K2" s="71" t="n">
        <x:v>0</x:v>
      </x:c>
      <x:c r="L2" s="71" t="str"/>
      <x:c r="M2" s="71" t="str"/>
      <x:c r="N2" s="71" t="str"/>
      <x:c r="O2" s="71" t="str"/>
      <x:c r="P2" s="71" t="str"/>
      <x:c r="Q2" s="71" t="str"/>
      <x:c r="R2" s="71" t="str"/>
      <x:c r="S2" s="71" t="str"/>
      <x:c r="T2" s="71" t="str"/>
      <x:c r="U2" s="71" t="str"/>
      <x:c r="V2" s="49" t="str">
        <x:v>A russet cup fungus with thornlike ridges around its rim. Its flesh is chewy, its underside feels like suede, and it smells of crushed hazelnuts and damp hedgewood.</x:v>
      </x:c>
    </x:row>
    <x:row r="3">
      <x:c r="A3" s="48" t="str">
        <x:v>Core</x:v>
      </x:c>
      <x:c r="B3" s="71" t="str">
        <x:v>Mushroom</x:v>
      </x:c>
      <x:c r="C3" s="71" t="str">
        <x:v>Common</x:v>
      </x:c>
      <x:c r="D3" s="71" t="str">
        <x:v>Candlecap</x:v>
      </x:c>
      <x:c r="E3" s="71" t="n">
        <x:v>0</x:v>
      </x:c>
      <x:c r="F3" s="71" t="n">
        <x:v>25</x:v>
      </x:c>
      <x:c r="G3" s="71" t="n">
        <x:v>0</x:v>
      </x:c>
      <x:c r="H3" s="71" t="n">
        <x:v>0</x:v>
      </x:c>
      <x:c r="I3" s="71" t="n">
        <x:v>0</x:v>
      </x:c>
      <x:c r="J3" s="71" t="n">
        <x:v>0</x:v>
      </x:c>
      <x:c r="K3" s="71" t="n">
        <x:v>0</x:v>
      </x:c>
      <x:c r="L3" s="71" t="str"/>
      <x:c r="M3" s="71" t="str"/>
      <x:c r="N3" s="71" t="str"/>
      <x:c r="O3" s="71" t="str"/>
      <x:c r="P3" s="71" t="str"/>
      <x:c r="Q3" s="71" t="str"/>
      <x:c r="R3" s="71" t="str"/>
      <x:c r="S3" s="71" t="str"/>
      <x:c r="T3" s="71" t="str"/>
      <x:c r="U3" s="71" t="str"/>
      <x:c r="V3" s="49" t="str">
        <x:v>A thumb-sized ivory cap with a waxy rim that catches light like a candle. It feels cool and slick, smells of beeswax and damp cedar, and squeaks faintly when cut.</x:v>
      </x:c>
    </x:row>
    <x:row r="4">
      <x:c r="A4" s="48" t="str">
        <x:v>Core</x:v>
      </x:c>
      <x:c r="B4" s="71" t="str">
        <x:v>Mushroom</x:v>
      </x:c>
      <x:c r="C4" s="71" t="str">
        <x:v>Common</x:v>
      </x:c>
      <x:c r="D4" s="71" t="str">
        <x:v>Dewbutton Cap</x:v>
      </x:c>
      <x:c r="E4" s="71" t="n">
        <x:v>0</x:v>
      </x:c>
      <x:c r="F4" s="71" t="n">
        <x:v>0</x:v>
      </x:c>
      <x:c r="G4" s="71" t="n">
        <x:v>25</x:v>
      </x:c>
      <x:c r="H4" s="71" t="n">
        <x:v>0</x:v>
      </x:c>
      <x:c r="I4" s="71" t="n">
        <x:v>0</x:v>
      </x:c>
      <x:c r="J4" s="71" t="n">
        <x:v>0</x:v>
      </x:c>
      <x:c r="K4" s="71" t="n">
        <x:v>0</x:v>
      </x:c>
      <x:c r="L4" s="71" t="str"/>
      <x:c r="M4" s="71" t="str"/>
      <x:c r="N4" s="71" t="str"/>
      <x:c r="O4" s="71" t="str"/>
      <x:c r="P4" s="71" t="str"/>
      <x:c r="Q4" s="71" t="str"/>
      <x:c r="R4" s="71" t="str"/>
      <x:c r="S4" s="71" t="str"/>
      <x:c r="T4" s="71" t="str"/>
      <x:c r="U4" s="71" t="str"/>
      <x:c r="V4" s="49" t="str">
        <x:v>Tiny pearl-gray caps bead with cool water even in dry rooms. They smell of rain on slate and fresh bread yeast, and pop softly between the fingers.</x:v>
      </x:c>
    </x:row>
    <x:row r="5">
      <x:c r="A5" s="48" t="str">
        <x:v>Core</x:v>
      </x:c>
      <x:c r="B5" s="71" t="str">
        <x:v>Mushroom</x:v>
      </x:c>
      <x:c r="C5" s="71" t="str">
        <x:v>Common</x:v>
      </x:c>
      <x:c r="D5" s="71" t="str">
        <x:v>Hearthcap Mushroom</x:v>
      </x:c>
      <x:c r="E5" s="71" t="n">
        <x:v>0</x:v>
      </x:c>
      <x:c r="F5" s="71" t="n">
        <x:v>25</x:v>
      </x:c>
      <x:c r="G5" s="71" t="n">
        <x:v>0</x:v>
      </x:c>
      <x:c r="H5" s="71" t="n">
        <x:v>0</x:v>
      </x:c>
      <x:c r="I5" s="71" t="n">
        <x:v>0</x:v>
      </x:c>
      <x:c r="J5" s="71" t="n">
        <x:v>0</x:v>
      </x:c>
      <x:c r="K5" s="71" t="n">
        <x:v>0</x:v>
      </x:c>
      <x:c r="L5" s="71" t="str"/>
      <x:c r="M5" s="71" t="str"/>
      <x:c r="N5" s="71" t="str"/>
      <x:c r="O5" s="71" t="str"/>
      <x:c r="P5" s="71" t="str"/>
      <x:c r="Q5" s="71" t="str"/>
      <x:c r="R5" s="71" t="str"/>
      <x:c r="S5" s="71" t="str"/>
      <x:c r="T5" s="71" t="str"/>
      <x:c r="U5" s="71" t="str"/>
      <x:c r="V5" s="49" t="str">
        <x:v>A squat brown cap with warm rust freckles and cream gills. It smells like hearth smoke over damp soil, and the stem feels spongy but firm.</x:v>
      </x:c>
    </x:row>
    <x:row r="6">
      <x:c r="A6" s="48" t="str">
        <x:v>Core</x:v>
      </x:c>
      <x:c r="B6" s="71" t="str">
        <x:v>Mushroom</x:v>
      </x:c>
      <x:c r="C6" s="71" t="str">
        <x:v>Common</x:v>
      </x:c>
      <x:c r="D6" s="71" t="str">
        <x:v>Mossbutton</x:v>
      </x:c>
      <x:c r="E6" s="71" t="n">
        <x:v>0</x:v>
      </x:c>
      <x:c r="F6" s="71" t="n">
        <x:v>0</x:v>
      </x:c>
      <x:c r="G6" s="71" t="n">
        <x:v>25</x:v>
      </x:c>
      <x:c r="H6" s="71" t="n">
        <x:v>0</x:v>
      </x:c>
      <x:c r="I6" s="71" t="n">
        <x:v>0</x:v>
      </x:c>
      <x:c r="J6" s="71" t="n">
        <x:v>0</x:v>
      </x:c>
      <x:c r="K6" s="71" t="n">
        <x:v>0</x:v>
      </x:c>
      <x:c r="L6" s="71" t="str"/>
      <x:c r="M6" s="71" t="str"/>
      <x:c r="N6" s="71" t="str"/>
      <x:c r="O6" s="71" t="str"/>
      <x:c r="P6" s="71" t="str"/>
      <x:c r="Q6" s="71" t="str"/>
      <x:c r="R6" s="71" t="str"/>
      <x:c r="S6" s="71" t="str"/>
      <x:c r="T6" s="71" t="str"/>
      <x:c r="U6" s="71" t="str"/>
      <x:c r="V6" s="49" t="str">
        <x:v>A round olive cap cushioned in velvet fuzz. It compresses like wet felt, smells of mossy stone and nutmeg, and leaves green dust beneath the nails.</x:v>
      </x:c>
    </x:row>
    <x:row r="7">
      <x:c r="A7" s="48" t="str">
        <x:v>Core</x:v>
      </x:c>
      <x:c r="B7" s="71" t="str">
        <x:v>Mushroom</x:v>
      </x:c>
      <x:c r="C7" s="71" t="str">
        <x:v>Uncommon</x:v>
      </x:c>
      <x:c r="D7" s="71" t="str">
        <x:v>Cluster Puffball</x:v>
      </x:c>
      <x:c r="E7" s="71" t="n">
        <x:v>2</x:v>
      </x:c>
      <x:c r="F7" s="71" t="n">
        <x:v>25</x:v>
      </x:c>
      <x:c r="G7" s="71" t="n">
        <x:v>0</x:v>
      </x:c>
      <x:c r="H7" s="71" t="n">
        <x:v>0</x:v>
      </x:c>
      <x:c r="I7" s="71" t="n">
        <x:v>1</x:v>
      </x:c>
      <x:c r="J7" s="71" t="n">
        <x:v>0</x:v>
      </x:c>
      <x:c r="K7" s="71" t="n">
        <x:v>0</x:v>
      </x:c>
      <x:c r="L7" s="71" t="str"/>
      <x:c r="M7" s="71" t="str"/>
      <x:c r="N7" s="71" t="str"/>
      <x:c r="O7" s="71" t="str"/>
      <x:c r="P7" s="71" t="str"/>
      <x:c r="Q7" s="71" t="str"/>
      <x:c r="R7" s="71" t="str"/>
      <x:c r="S7" s="71" t="str"/>
      <x:c r="T7" s="71" t="str"/>
      <x:c r="U7" s="71" t="str"/>
      <x:c r="V7" s="49" t="str">
        <x:v>A knot of soft round puffballs that sighs out chalky spores when tapped. The dust smells dry, nutty, and faintly medicinal.</x:v>
      </x:c>
    </x:row>
    <x:row r="8">
      <x:c r="A8" s="48" t="str">
        <x:v>Core</x:v>
      </x:c>
      <x:c r="B8" s="71" t="str">
        <x:v>Mushroom</x:v>
      </x:c>
      <x:c r="C8" s="71" t="str">
        <x:v>Uncommon</x:v>
      </x:c>
      <x:c r="D8" s="71" t="str">
        <x:v>Embergill Mushroom</x:v>
      </x:c>
      <x:c r="E8" s="71" t="n">
        <x:v>2</x:v>
      </x:c>
      <x:c r="F8" s="71" t="n">
        <x:v>25</x:v>
      </x:c>
      <x:c r="G8" s="71" t="n">
        <x:v>50</x:v>
      </x:c>
      <x:c r="H8" s="71" t="n">
        <x:v>0</x:v>
      </x:c>
      <x:c r="I8" s="71" t="n">
        <x:v>0</x:v>
      </x:c>
      <x:c r="J8" s="71" t="n">
        <x:v>0</x:v>
      </x:c>
      <x:c r="K8" s="71" t="n">
        <x:v>0</x:v>
      </x:c>
      <x:c r="L8" s="71" t="str"/>
      <x:c r="M8" s="71" t="str"/>
      <x:c r="N8" s="71" t="str"/>
      <x:c r="O8" s="71" t="str"/>
      <x:c r="P8" s="71" t="str"/>
      <x:c r="Q8" s="71" t="str"/>
      <x:c r="R8" s="71" t="str"/>
      <x:c r="S8" s="71" t="str"/>
      <x:c r="T8" s="71" t="str"/>
      <x:c r="U8" s="71" t="str"/>
      <x:c r="V8" s="49" t="str">
        <x:v>A russet mushroom with orange gills that glow like banked coals. Its stem is warm and fibrous, and it smells of toasted grain, pepper, and wet bark.</x:v>
      </x:c>
    </x:row>
    <x:row r="9">
      <x:c r="A9" s="48" t="str">
        <x:v>Core</x:v>
      </x:c>
      <x:c r="B9" s="71" t="str">
        <x:v>Mushroom</x:v>
      </x:c>
      <x:c r="C9" s="71" t="str">
        <x:v>Uncommon</x:v>
      </x:c>
      <x:c r="D9" s="71" t="str">
        <x:v>Ghostcap Mushroom</x:v>
      </x:c>
      <x:c r="E9" s="71" t="n">
        <x:v>2</x:v>
      </x:c>
      <x:c r="F9" s="71" t="n">
        <x:v>50</x:v>
      </x:c>
      <x:c r="G9" s="71" t="n">
        <x:v>25</x:v>
      </x:c>
      <x:c r="H9" s="71" t="n">
        <x:v>0</x:v>
      </x:c>
      <x:c r="I9" s="71" t="n">
        <x:v>0</x:v>
      </x:c>
      <x:c r="J9" s="71" t="n">
        <x:v>0</x:v>
      </x:c>
      <x:c r="K9" s="71" t="n">
        <x:v>0</x:v>
      </x:c>
      <x:c r="L9" s="71" t="str"/>
      <x:c r="M9" s="71" t="str"/>
      <x:c r="N9" s="71" t="str"/>
      <x:c r="O9" s="71" t="str"/>
      <x:c r="P9" s="71" t="str"/>
      <x:c r="Q9" s="71" t="str"/>
      <x:c r="R9" s="71" t="str"/>
      <x:c r="S9" s="71" t="str"/>
      <x:c r="T9" s="71" t="str"/>
      <x:c r="U9" s="71" t="str"/>
      <x:c r="V9" s="49" t="str">
        <x:v>A translucent white cap with a smoky blue center and thread-fine gills. It is cold to the touch and carries a faint scent of cellar stone, mint, and wet linen.</x:v>
      </x:c>
    </x:row>
    <x:row r="10">
      <x:c r="A10" s="48" t="str">
        <x:v>Core</x:v>
      </x:c>
      <x:c r="B10" s="71" t="str">
        <x:v>Mushroom</x:v>
      </x:c>
      <x:c r="C10" s="71" t="str">
        <x:v>Uncommon</x:v>
      </x:c>
      <x:c r="D10" s="71" t="str">
        <x:v>Moonmilk Fungus</x:v>
      </x:c>
      <x:c r="E10" s="71" t="n">
        <x:v>2</x:v>
      </x:c>
      <x:c r="F10" s="71" t="n">
        <x:v>75</x:v>
      </x:c>
      <x:c r="G10" s="71" t="n">
        <x:v>0</x:v>
      </x:c>
      <x:c r="H10" s="71" t="n">
        <x:v>0</x:v>
      </x:c>
      <x:c r="I10" s="71" t="n">
        <x:v>0</x:v>
      </x:c>
      <x:c r="J10" s="71" t="n">
        <x:v>0</x:v>
      </x:c>
      <x:c r="K10" s="71" t="n">
        <x:v>0</x:v>
      </x:c>
      <x:c r="L10" s="71" t="str"/>
      <x:c r="M10" s="71" t="str"/>
      <x:c r="N10" s="71" t="str"/>
      <x:c r="O10" s="71" t="str"/>
      <x:c r="P10" s="71" t="str"/>
      <x:c r="Q10" s="71" t="str"/>
      <x:c r="R10" s="71" t="str"/>
      <x:c r="S10" s="71" t="str"/>
      <x:c r="T10" s="71" t="str"/>
      <x:c r="U10" s="71" t="str"/>
      <x:c r="V10" s="49" t="str">
        <x:v>A pale blue-white fungus with milky beads forming along the gills. It smells cool and sweet, like rainwater in a stone bowl.</x:v>
      </x:c>
    </x:row>
    <x:row r="11">
      <x:c r="A11" s="48" t="str">
        <x:v>Core</x:v>
      </x:c>
      <x:c r="B11" s="71" t="str">
        <x:v>Mushroom</x:v>
      </x:c>
      <x:c r="C11" s="71" t="str">
        <x:v>Uncommon</x:v>
      </x:c>
      <x:c r="D11" s="71" t="str">
        <x:v>Silverbell Fungus</x:v>
      </x:c>
      <x:c r="E11" s="71" t="n">
        <x:v>2</x:v>
      </x:c>
      <x:c r="F11" s="71" t="n">
        <x:v>25</x:v>
      </x:c>
      <x:c r="G11" s="71" t="n">
        <x:v>0</x:v>
      </x:c>
      <x:c r="H11" s="71" t="n">
        <x:v>0</x:v>
      </x:c>
      <x:c r="I11" s="71" t="n">
        <x:v>0</x:v>
      </x:c>
      <x:c r="J11" s="71" t="n">
        <x:v>1</x:v>
      </x:c>
      <x:c r="K11" s="71" t="n">
        <x:v>0</x:v>
      </x:c>
      <x:c r="L11" s="71" t="str"/>
      <x:c r="M11" s="71" t="str"/>
      <x:c r="N11" s="71" t="str"/>
      <x:c r="O11" s="71" t="str"/>
      <x:c r="P11" s="71" t="str"/>
      <x:c r="Q11" s="71" t="str"/>
      <x:c r="R11" s="71" t="str"/>
      <x:c r="S11" s="71" t="str"/>
      <x:c r="T11" s="71" t="str"/>
      <x:c r="U11" s="71" t="str"/>
      <x:c r="V11" s="49" t="str">
        <x:v>A cluster of silver bell-shaped caps with glassy edges. They chime softly when shaken and smell of cold rain, mushrooms, and crushed mint.</x:v>
      </x:c>
    </x:row>
    <x:row r="12">
      <x:c r="A12" s="48" t="str">
        <x:v>Core</x:v>
      </x:c>
      <x:c r="B12" s="71" t="str">
        <x:v>Mushroom</x:v>
      </x:c>
      <x:c r="C12" s="71" t="str">
        <x:v>Rare</x:v>
      </x:c>
      <x:c r="D12" s="71" t="str">
        <x:v>Cloudcap Spore</x:v>
      </x:c>
      <x:c r="E12" s="71" t="n">
        <x:v>4</x:v>
      </x:c>
      <x:c r="F12" s="71" t="n">
        <x:v>75</x:v>
      </x:c>
      <x:c r="G12" s="71" t="n">
        <x:v>25</x:v>
      </x:c>
      <x:c r="H12" s="71" t="n">
        <x:v>0</x:v>
      </x:c>
      <x:c r="I12" s="71" t="n">
        <x:v>0</x:v>
      </x:c>
      <x:c r="J12" s="71" t="n">
        <x:v>0</x:v>
      </x:c>
      <x:c r="K12" s="71" t="n">
        <x:v>0</x:v>
      </x:c>
      <x:c r="L12" s="71" t="str"/>
      <x:c r="M12" s="71" t="str"/>
      <x:c r="N12" s="71" t="str"/>
      <x:c r="O12" s="71" t="str"/>
      <x:c r="P12" s="71" t="str"/>
      <x:c r="Q12" s="71" t="str"/>
      <x:c r="R12" s="71" t="str"/>
      <x:c r="S12" s="71" t="str"/>
      <x:c r="T12" s="71" t="str"/>
      <x:c r="U12" s="71" t="str"/>
      <x:c r="V12" s="49" t="str">
        <x:v>A broad pale mushroom dusted with silver spores that drift upward instead of falling. It feels light as cork and smells of cool fog, bitter tea, and pine bark.</x:v>
      </x:c>
    </x:row>
    <x:row r="13">
      <x:c r="A13" s="48" t="str">
        <x:v>Core</x:v>
      </x:c>
      <x:c r="B13" s="71" t="str">
        <x:v>Mushroom</x:v>
      </x:c>
      <x:c r="C13" s="71" t="str">
        <x:v>Rare</x:v>
      </x:c>
      <x:c r="D13" s="71" t="str">
        <x:v>Dreamspore Morel</x:v>
      </x:c>
      <x:c r="E13" s="71" t="n">
        <x:v>4</x:v>
      </x:c>
      <x:c r="F13" s="71" t="n">
        <x:v>0</x:v>
      </x:c>
      <x:c r="G13" s="71" t="n">
        <x:v>0</x:v>
      </x:c>
      <x:c r="H13" s="71" t="n">
        <x:v>0</x:v>
      </x:c>
      <x:c r="I13" s="71" t="n">
        <x:v>0</x:v>
      </x:c>
      <x:c r="J13" s="71" t="n">
        <x:v>0</x:v>
      </x:c>
      <x:c r="K13" s="71" t="n">
        <x:v>1</x:v>
      </x:c>
      <x:c r="L13" s="71" t="str"/>
      <x:c r="M13" s="71" t="str">
        <x:v>Confused</x:v>
      </x:c>
      <x:c r="N13" s="71" t="str">
        <x:v>Wisdom</x:v>
      </x:c>
      <x:c r="O13" s="71" t="str">
        <x:v>1 minute</x:v>
      </x:c>
      <x:c r="P13" s="71" t="str">
        <x:v>end of each turn</x:v>
      </x:c>
      <x:c r="Q13" s="71" t="str">
        <x:v>Poisons, Bombs</x:v>
      </x:c>
      <x:c r="R13" s="71" t="str">
        <x:v>No budget cost</x:v>
      </x:c>
      <x:c r="S13" s="71" t="str"/>
      <x:c r="T13" s="71" t="str"/>
      <x:c r="U13" s="71" t="str"/>
      <x:c r="V13" s="49" t="str">
        <x:v>A tall indigo morel whose honeycomb pits hold drifting violet spores. It feels dry as paper and smells of lavender smoke, dark soil, and old books.</x:v>
      </x:c>
    </x:row>
    <x:row r="14">
      <x:c r="A14" s="48" t="str">
        <x:v>Core</x:v>
      </x:c>
      <x:c r="B14" s="71" t="str">
        <x:v>Mushroom</x:v>
      </x:c>
      <x:c r="C14" s="71" t="str">
        <x:v>Rare</x:v>
      </x:c>
      <x:c r="D14" s="71" t="str">
        <x:v>King's Redcap</x:v>
      </x:c>
      <x:c r="E14" s="71" t="n">
        <x:v>4</x:v>
      </x:c>
      <x:c r="F14" s="71" t="n">
        <x:v>100</x:v>
      </x:c>
      <x:c r="G14" s="71" t="n">
        <x:v>0</x:v>
      </x:c>
      <x:c r="H14" s="71" t="n">
        <x:v>0</x:v>
      </x:c>
      <x:c r="I14" s="71" t="n">
        <x:v>0</x:v>
      </x:c>
      <x:c r="J14" s="71" t="n">
        <x:v>0</x:v>
      </x:c>
      <x:c r="K14" s="71" t="n">
        <x:v>0</x:v>
      </x:c>
      <x:c r="L14" s="71" t="str"/>
      <x:c r="M14" s="71" t="str"/>
      <x:c r="N14" s="71" t="str"/>
      <x:c r="O14" s="71" t="str"/>
      <x:c r="P14" s="71" t="str"/>
      <x:c r="Q14" s="71" t="str"/>
      <x:c r="R14" s="71" t="str"/>
      <x:c r="S14" s="71" t="str"/>
      <x:c r="T14" s="71" t="str"/>
      <x:c r="U14" s="71" t="str"/>
      <x:c r="V14" s="49" t="str">
        <x:v>A crimson-capped fungus with black speckles and thick ivory flesh. When sliced, it stains the blade red and smells of bitter loam and iron-rich rain.</x:v>
      </x:c>
    </x:row>
    <x:row r="15">
      <x:c r="A15" s="48" t="str">
        <x:v>Core</x:v>
      </x:c>
      <x:c r="B15" s="71" t="str">
        <x:v>Mushroom</x:v>
      </x:c>
      <x:c r="C15" s="71" t="str">
        <x:v>Rare</x:v>
      </x:c>
      <x:c r="D15" s="71" t="str">
        <x:v>Twin-Bloom Mycelium</x:v>
      </x:c>
      <x:c r="E15" s="71" t="n">
        <x:v>4</x:v>
      </x:c>
      <x:c r="F15" s="71" t="n">
        <x:v>50</x:v>
      </x:c>
      <x:c r="G15" s="71" t="n">
        <x:v>0</x:v>
      </x:c>
      <x:c r="H15" s="71" t="n">
        <x:v>0</x:v>
      </x:c>
      <x:c r="I15" s="71" t="n">
        <x:v>1</x:v>
      </x:c>
      <x:c r="J15" s="71" t="n">
        <x:v>0</x:v>
      </x:c>
      <x:c r="K15" s="71" t="n">
        <x:v>0</x:v>
      </x:c>
      <x:c r="L15" s="71" t="str"/>
      <x:c r="M15" s="71" t="str"/>
      <x:c r="N15" s="71" t="str"/>
      <x:c r="O15" s="71" t="str"/>
      <x:c r="P15" s="71" t="str"/>
      <x:c r="Q15" s="71" t="str"/>
      <x:c r="R15" s="71" t="str"/>
      <x:c r="S15" s="71" t="str"/>
      <x:c r="T15" s="71" t="str"/>
      <x:c r="U15" s="71" t="str"/>
      <x:c r="V15" s="49" t="str">
        <x:v>Two small caps grow from the same silver-white thread mass. The paired blooms smell earthy and sweet, and their spores cling like flour.</x:v>
      </x:c>
    </x:row>
    <x:row r="16">
      <x:c r="A16" s="48" t="str">
        <x:v>Core</x:v>
      </x:c>
      <x:c r="B16" s="71" t="str">
        <x:v>Mushroom</x:v>
      </x:c>
      <x:c r="C16" s="71" t="str">
        <x:v>Very Rare</x:v>
      </x:c>
      <x:c r="D16" s="71" t="str">
        <x:v>Crowncap Polypore</x:v>
      </x:c>
      <x:c r="E16" s="71" t="n">
        <x:v>6</x:v>
      </x:c>
      <x:c r="F16" s="71" t="n">
        <x:v>125</x:v>
      </x:c>
      <x:c r="G16" s="71" t="n">
        <x:v>0</x:v>
      </x:c>
      <x:c r="H16" s="71" t="n">
        <x:v>0</x:v>
      </x:c>
      <x:c r="I16" s="71" t="n">
        <x:v>0</x:v>
      </x:c>
      <x:c r="J16" s="71" t="n">
        <x:v>0</x:v>
      </x:c>
      <x:c r="K16" s="71" t="n">
        <x:v>0</x:v>
      </x:c>
      <x:c r="L16" s="71" t="str"/>
      <x:c r="M16" s="71" t="str"/>
      <x:c r="N16" s="71" t="str"/>
      <x:c r="O16" s="71" t="str"/>
      <x:c r="P16" s="71" t="str"/>
      <x:c r="Q16" s="71" t="str"/>
      <x:c r="R16" s="71" t="str"/>
      <x:c r="S16" s="71" t="str"/>
      <x:c r="T16" s="71" t="str"/>
      <x:c r="U16" s="71" t="str"/>
      <x:c r="V16" s="49" t="str">
        <x:v>A shelf-like golden fungus with red lacquered bands. Its underside is dry and powdery, with a warm smell of toasted grain, cedar resin, and rich cellar earth.</x:v>
      </x:c>
    </x:row>
    <x:row r="17">
      <x:c r="A17" s="48" t="str">
        <x:v>Core</x:v>
      </x:c>
      <x:c r="B17" s="71" t="str">
        <x:v>Mushroom</x:v>
      </x:c>
      <x:c r="C17" s="71" t="str">
        <x:v>Very Rare</x:v>
      </x:c>
      <x:c r="D17" s="71" t="str">
        <x:v>Oracle's Crown</x:v>
      </x:c>
      <x:c r="E17" s="71" t="n">
        <x:v>6</x:v>
      </x:c>
      <x:c r="F17" s="71" t="n">
        <x:v>75</x:v>
      </x:c>
      <x:c r="G17" s="71" t="n">
        <x:v>0</x:v>
      </x:c>
      <x:c r="H17" s="71" t="n">
        <x:v>0</x:v>
      </x:c>
      <x:c r="I17" s="71" t="n">
        <x:v>2</x:v>
      </x:c>
      <x:c r="J17" s="71" t="n">
        <x:v>0</x:v>
      </x:c>
      <x:c r="K17" s="71" t="n">
        <x:v>0</x:v>
      </x:c>
      <x:c r="L17" s="71" t="str"/>
      <x:c r="M17" s="71" t="str"/>
      <x:c r="N17" s="71" t="str"/>
      <x:c r="O17" s="71" t="str"/>
      <x:c r="P17" s="71" t="str"/>
      <x:c r="Q17" s="71" t="str"/>
      <x:c r="R17" s="71" t="str"/>
      <x:c r="S17" s="71" t="str"/>
      <x:c r="T17" s="71" t="str"/>
      <x:c r="U17" s="71" t="str"/>
      <x:c r="V17" s="49" t="str">
        <x:v>A crown of translucent blue caps joined by luminous white mycelium. The gills pulse when touched, tasting faintly of salt and honey while smelling of ozone before rain.</x:v>
      </x:c>
    </x:row>
    <x:row r="18">
      <x:c r="A18" s="48" t="str">
        <x:v>Core</x:v>
      </x:c>
      <x:c r="B18" s="71" t="str">
        <x:v>Mushroom</x:v>
      </x:c>
      <x:c r="C18" s="71" t="str">
        <x:v>Very Rare</x:v>
      </x:c>
      <x:c r="D18" s="71" t="str">
        <x:v>Phoenix Truffle</x:v>
      </x:c>
      <x:c r="E18" s="71" t="n">
        <x:v>6</x:v>
      </x:c>
      <x:c r="F18" s="71" t="n">
        <x:v>75</x:v>
      </x:c>
      <x:c r="G18" s="71" t="n">
        <x:v>50</x:v>
      </x:c>
      <x:c r="H18" s="71" t="n">
        <x:v>0</x:v>
      </x:c>
      <x:c r="I18" s="71" t="n">
        <x:v>0</x:v>
      </x:c>
      <x:c r="J18" s="71" t="n">
        <x:v>0</x:v>
      </x:c>
      <x:c r="K18" s="71" t="n">
        <x:v>0</x:v>
      </x:c>
      <x:c r="L18" s="71" t="str"/>
      <x:c r="M18" s="71" t="str"/>
      <x:c r="N18" s="71" t="str"/>
      <x:c r="O18" s="71" t="str"/>
      <x:c r="P18" s="71" t="str"/>
      <x:c r="Q18" s="71" t="str"/>
      <x:c r="R18" s="71" t="str"/>
      <x:c r="S18" s="71" t="str"/>
      <x:c r="T18" s="71" t="str"/>
      <x:c r="U18" s="71" t="str"/>
      <x:c r="V18" s="49" t="str">
        <x:v>A coal-black truffle veined with ember orange. It is warm to the touch and smells of scorched cedar, rich soil, and hot spice.</x:v>
      </x:c>
    </x:row>
    <x:row r="19">
      <x:c r="A19" s="48" t="str">
        <x:v>Core</x:v>
      </x:c>
      <x:c r="B19" s="71" t="str">
        <x:v>Mushroom</x:v>
      </x:c>
      <x:c r="C19" s="71" t="str">
        <x:v>Very Rare</x:v>
      </x:c>
      <x:c r="D19" s="71" t="str">
        <x:v>Saint's Veil Cap</x:v>
      </x:c>
      <x:c r="E19" s="71" t="n">
        <x:v>6</x:v>
      </x:c>
      <x:c r="F19" s="71" t="n">
        <x:v>25</x:v>
      </x:c>
      <x:c r="G19" s="71" t="n">
        <x:v>0</x:v>
      </x:c>
      <x:c r="H19" s="71" t="n">
        <x:v>0</x:v>
      </x:c>
      <x:c r="I19" s="71" t="n">
        <x:v>0</x:v>
      </x:c>
      <x:c r="J19" s="71" t="n">
        <x:v>0</x:v>
      </x:c>
      <x:c r="K19" s="71" t="n">
        <x:v>1</x:v>
      </x:c>
      <x:c r="L19" s="71" t="str"/>
      <x:c r="M19" s="71" t="str"/>
      <x:c r="N19" s="71" t="str"/>
      <x:c r="O19" s="71" t="str"/>
      <x:c r="P19" s="71" t="str"/>
      <x:c r="Q19" s="71" t="str"/>
      <x:c r="R19" s="71" t="str"/>
      <x:c r="S19" s="71" t="str"/>
      <x:c r="T19" s="71" t="str"/>
      <x:c r="U19" s="71" t="str"/>
      <x:c r="V19" s="49" t="str">
        <x:v>A thin white cap draped like lace over luminous gills. It gives off a clean, chapel-wax scent and leaves a soft gold dust on the fingers.</x:v>
      </x:c>
    </x:row>
    <x:row r="20">
      <x:c r="A20" s="48" t="str">
        <x:v>Core</x:v>
      </x:c>
      <x:c r="B20" s="71" t="str">
        <x:v>Root</x:v>
      </x:c>
      <x:c r="C20" s="71" t="str">
        <x:v>Common</x:v>
      </x:c>
      <x:c r="D20" s="71" t="str">
        <x:v>Bittercoil Root</x:v>
      </x:c>
      <x:c r="E20" s="71" t="n">
        <x:v>0</x:v>
      </x:c>
      <x:c r="F20" s="71" t="n">
        <x:v>0</x:v>
      </x:c>
      <x:c r="G20" s="71" t="n">
        <x:v>25</x:v>
      </x:c>
      <x:c r="H20" s="71" t="n">
        <x:v>0</x:v>
      </x:c>
      <x:c r="I20" s="71" t="n">
        <x:v>0</x:v>
      </x:c>
      <x:c r="J20" s="71" t="n">
        <x:v>0</x:v>
      </x:c>
      <x:c r="K20" s="71" t="n">
        <x:v>0</x:v>
      </x:c>
      <x:c r="L20" s="71" t="str"/>
      <x:c r="M20" s="71" t="str"/>
      <x:c r="N20" s="71" t="str"/>
      <x:c r="O20" s="71" t="str"/>
      <x:c r="P20" s="71" t="str"/>
      <x:c r="Q20" s="71" t="str"/>
      <x:c r="R20" s="71" t="str"/>
      <x:c r="S20" s="71" t="str"/>
      <x:c r="T20" s="71" t="str"/>
      <x:c r="U20" s="71" t="str"/>
      <x:c r="V20" s="49" t="str">
        <x:v>A tightly spiraled black-brown root with a waxy skin. Its cut surface is yellow and intensely bitter, smelling of coffee grounds, bark, and sharp medicinal oil.</x:v>
      </x:c>
    </x:row>
    <x:row r="21">
      <x:c r="A21" s="48" t="str">
        <x:v>Core</x:v>
      </x:c>
      <x:c r="B21" s="71" t="str">
        <x:v>Root</x:v>
      </x:c>
      <x:c r="C21" s="71" t="str">
        <x:v>Common</x:v>
      </x:c>
      <x:c r="D21" s="71" t="str">
        <x:v>Clayfinger Root</x:v>
      </x:c>
      <x:c r="E21" s="71" t="n">
        <x:v>0</x:v>
      </x:c>
      <x:c r="F21" s="71" t="n">
        <x:v>25</x:v>
      </x:c>
      <x:c r="G21" s="71" t="n">
        <x:v>0</x:v>
      </x:c>
      <x:c r="H21" s="71" t="n">
        <x:v>0</x:v>
      </x:c>
      <x:c r="I21" s="71" t="n">
        <x:v>0</x:v>
      </x:c>
      <x:c r="J21" s="71" t="n">
        <x:v>0</x:v>
      </x:c>
      <x:c r="K21" s="71" t="n">
        <x:v>0</x:v>
      </x:c>
      <x:c r="L21" s="71" t="str"/>
      <x:c r="M21" s="71" t="str"/>
      <x:c r="N21" s="71" t="str"/>
      <x:c r="O21" s="71" t="str"/>
      <x:c r="P21" s="71" t="str"/>
      <x:c r="Q21" s="71" t="str"/>
      <x:c r="R21" s="71" t="str"/>
      <x:c r="S21" s="71" t="str"/>
      <x:c r="T21" s="71" t="str"/>
      <x:c r="U21" s="71" t="str"/>
      <x:c r="V21" s="49" t="str">
        <x:v>A bundle of finger-thin tan roots packed with red clay. They snap crisply, stain the hands orange, and smell of pottery earth and raw turnip.</x:v>
      </x:c>
    </x:row>
    <x:row r="22">
      <x:c r="A22" s="48" t="str">
        <x:v>Core</x:v>
      </x:c>
      <x:c r="B22" s="71" t="str">
        <x:v>Root</x:v>
      </x:c>
      <x:c r="C22" s="71" t="str">
        <x:v>Common</x:v>
      </x:c>
      <x:c r="D22" s="71" t="str">
        <x:v>Fieldroot</x:v>
      </x:c>
      <x:c r="E22" s="71" t="n">
        <x:v>0</x:v>
      </x:c>
      <x:c r="F22" s="71" t="n">
        <x:v>0</x:v>
      </x:c>
      <x:c r="G22" s="71" t="n">
        <x:v>25</x:v>
      </x:c>
      <x:c r="H22" s="71" t="n">
        <x:v>0</x:v>
      </x:c>
      <x:c r="I22" s="71" t="n">
        <x:v>0</x:v>
      </x:c>
      <x:c r="J22" s="71" t="n">
        <x:v>0</x:v>
      </x:c>
      <x:c r="K22" s="71" t="n">
        <x:v>0</x:v>
      </x:c>
      <x:c r="L22" s="71" t="str"/>
      <x:c r="M22" s="71" t="str"/>
      <x:c r="N22" s="71" t="str"/>
      <x:c r="O22" s="71" t="str"/>
      <x:c r="P22" s="71" t="str"/>
      <x:c r="Q22" s="71" t="str"/>
      <x:c r="R22" s="71" t="str"/>
      <x:c r="S22" s="71" t="str"/>
      <x:c r="T22" s="71" t="str"/>
      <x:c r="U22" s="71" t="str"/>
      <x:c r="V22" s="49" t="str">
        <x:v>A plain tan root with hairlike fibers and a crisp snap. It smells of fresh-dug earth and leaves a bitter, grassy taste.</x:v>
      </x:c>
    </x:row>
    <x:row r="23">
      <x:c r="A23" s="48" t="str">
        <x:v>Core</x:v>
      </x:c>
      <x:c r="B23" s="71" t="str">
        <x:v>Root</x:v>
      </x:c>
      <x:c r="C23" s="71" t="str">
        <x:v>Common</x:v>
      </x:c>
      <x:c r="D23" s="71" t="str">
        <x:v>Marshknuckle Root</x:v>
      </x:c>
      <x:c r="E23" s="71" t="n">
        <x:v>0</x:v>
      </x:c>
      <x:c r="F23" s="71" t="n">
        <x:v>25</x:v>
      </x:c>
      <x:c r="G23" s="71" t="n">
        <x:v>0</x:v>
      </x:c>
      <x:c r="H23" s="71" t="n">
        <x:v>0</x:v>
      </x:c>
      <x:c r="I23" s="71" t="n">
        <x:v>0</x:v>
      </x:c>
      <x:c r="J23" s="71" t="n">
        <x:v>0</x:v>
      </x:c>
      <x:c r="K23" s="71" t="n">
        <x:v>0</x:v>
      </x:c>
      <x:c r="L23" s="71" t="str"/>
      <x:c r="M23" s="71" t="str"/>
      <x:c r="N23" s="71" t="str"/>
      <x:c r="O23" s="71" t="str"/>
      <x:c r="P23" s="71" t="str"/>
      <x:c r="Q23" s="71" t="str"/>
      <x:c r="R23" s="71" t="str"/>
      <x:c r="S23" s="71" t="str"/>
      <x:c r="T23" s="71" t="str"/>
      <x:c r="U23" s="71" t="str"/>
      <x:c r="V23" s="49" t="str">
        <x:v>A bulbous green-brown root with jointed ridges and spongy flesh. It smells of brackish water, celery, and peat, leaving a cool slickness on the fingers.</x:v>
      </x:c>
    </x:row>
    <x:row r="24">
      <x:c r="A24" s="48" t="str">
        <x:v>Core</x:v>
      </x:c>
      <x:c r="B24" s="71" t="str">
        <x:v>Root</x:v>
      </x:c>
      <x:c r="C24" s="71" t="str">
        <x:v>Common</x:v>
      </x:c>
      <x:c r="D24" s="71" t="str">
        <x:v>Turnstone Root</x:v>
      </x:c>
      <x:c r="E24" s="71" t="n">
        <x:v>0</x:v>
      </x:c>
      <x:c r="F24" s="71" t="n">
        <x:v>0</x:v>
      </x:c>
      <x:c r="G24" s="71" t="n">
        <x:v>25</x:v>
      </x:c>
      <x:c r="H24" s="71" t="n">
        <x:v>0</x:v>
      </x:c>
      <x:c r="I24" s="71" t="n">
        <x:v>0</x:v>
      </x:c>
      <x:c r="J24" s="71" t="n">
        <x:v>0</x:v>
      </x:c>
      <x:c r="K24" s="71" t="n">
        <x:v>0</x:v>
      </x:c>
      <x:c r="L24" s="71" t="str"/>
      <x:c r="M24" s="71" t="str"/>
      <x:c r="N24" s="71" t="str"/>
      <x:c r="O24" s="71" t="str"/>
      <x:c r="P24" s="71" t="str"/>
      <x:c r="Q24" s="71" t="str"/>
      <x:c r="R24" s="71" t="str"/>
      <x:c r="S24" s="71" t="str"/>
      <x:c r="T24" s="71" t="str"/>
      <x:c r="U24" s="71" t="str"/>
      <x:c r="V24" s="49" t="str">
        <x:v>A squat gray root knotted around tiny pebbles. It feels heavy for its size, smells of wet clay and turnip greens, and clicks softly when shaken.</x:v>
      </x:c>
    </x:row>
    <x:row r="25">
      <x:c r="A25" s="48" t="str">
        <x:v>Core</x:v>
      </x:c>
      <x:c r="B25" s="71" t="str">
        <x:v>Root</x:v>
      </x:c>
      <x:c r="C25" s="71" t="str">
        <x:v>Uncommon</x:v>
      </x:c>
      <x:c r="D25" s="71" t="str">
        <x:v>Ambervein Root</x:v>
      </x:c>
      <x:c r="E25" s="71" t="n">
        <x:v>2</x:v>
      </x:c>
      <x:c r="F25" s="71" t="n">
        <x:v>50</x:v>
      </x:c>
      <x:c r="G25" s="71" t="n">
        <x:v>25</x:v>
      </x:c>
      <x:c r="H25" s="71" t="n">
        <x:v>0</x:v>
      </x:c>
      <x:c r="I25" s="71" t="n">
        <x:v>0</x:v>
      </x:c>
      <x:c r="J25" s="71" t="n">
        <x:v>0</x:v>
      </x:c>
      <x:c r="K25" s="71" t="n">
        <x:v>0</x:v>
      </x:c>
      <x:c r="L25" s="71" t="str"/>
      <x:c r="M25" s="71" t="str"/>
      <x:c r="N25" s="71" t="str"/>
      <x:c r="O25" s="71" t="str"/>
      <x:c r="P25" s="71" t="str"/>
      <x:c r="Q25" s="71" t="str"/>
      <x:c r="R25" s="71" t="str"/>
      <x:c r="S25" s="71" t="str"/>
      <x:c r="T25" s="71" t="str"/>
      <x:c r="U25" s="71" t="str"/>
      <x:c r="V25" s="49" t="str">
        <x:v>A honey-colored root threaded with translucent amber sap. It snaps cleanly, smells of warm resin and sweet earth, and leaves the tongue slightly numb.</x:v>
      </x:c>
    </x:row>
    <x:row r="26">
      <x:c r="A26" s="48" t="str">
        <x:v>Core</x:v>
      </x:c>
      <x:c r="B26" s="71" t="str">
        <x:v>Root</x:v>
      </x:c>
      <x:c r="C26" s="71" t="str">
        <x:v>Uncommon</x:v>
      </x:c>
      <x:c r="D26" s="71" t="str">
        <x:v>Frostcoil Root</x:v>
      </x:c>
      <x:c r="E26" s="71" t="n">
        <x:v>2</x:v>
      </x:c>
      <x:c r="F26" s="71" t="n">
        <x:v>25</x:v>
      </x:c>
      <x:c r="G26" s="71" t="n">
        <x:v>50</x:v>
      </x:c>
      <x:c r="H26" s="71" t="n">
        <x:v>0</x:v>
      </x:c>
      <x:c r="I26" s="71" t="n">
        <x:v>0</x:v>
      </x:c>
      <x:c r="J26" s="71" t="n">
        <x:v>0</x:v>
      </x:c>
      <x:c r="K26" s="71" t="n">
        <x:v>0</x:v>
      </x:c>
      <x:c r="L26" s="71" t="str"/>
      <x:c r="M26" s="71" t="str"/>
      <x:c r="N26" s="71" t="str"/>
      <x:c r="O26" s="71" t="str"/>
      <x:c r="P26" s="71" t="str"/>
      <x:c r="Q26" s="71" t="str"/>
      <x:c r="R26" s="71" t="str"/>
      <x:c r="S26" s="71" t="str"/>
      <x:c r="T26" s="71" t="str"/>
      <x:c r="U26" s="71" t="str"/>
      <x:c r="V26" s="49" t="str">
        <x:v>A pale root curled into a tight spiral beneath a skin of crystalline frost. It is painfully cold and smells of wintergreen, iron, and fresh snow.</x:v>
      </x:c>
    </x:row>
    <x:row r="27">
      <x:c r="A27" s="48" t="str">
        <x:v>Core</x:v>
      </x:c>
      <x:c r="B27" s="71" t="str">
        <x:v>Root</x:v>
      </x:c>
      <x:c r="C27" s="71" t="str">
        <x:v>Uncommon</x:v>
      </x:c>
      <x:c r="D27" s="71" t="str">
        <x:v>Ironroot</x:v>
      </x:c>
      <x:c r="E27" s="71" t="n">
        <x:v>2</x:v>
      </x:c>
      <x:c r="F27" s="71" t="n">
        <x:v>0</x:v>
      </x:c>
      <x:c r="G27" s="71" t="n">
        <x:v>75</x:v>
      </x:c>
      <x:c r="H27" s="71" t="n">
        <x:v>0</x:v>
      </x:c>
      <x:c r="I27" s="71" t="n">
        <x:v>0</x:v>
      </x:c>
      <x:c r="J27" s="71" t="n">
        <x:v>0</x:v>
      </x:c>
      <x:c r="K27" s="71" t="n">
        <x:v>0</x:v>
      </x:c>
      <x:c r="L27" s="71" t="str"/>
      <x:c r="M27" s="71" t="str"/>
      <x:c r="N27" s="71" t="str"/>
      <x:c r="O27" s="71" t="str"/>
      <x:c r="P27" s="71" t="str"/>
      <x:c r="Q27" s="71" t="str"/>
      <x:c r="R27" s="71" t="str"/>
      <x:c r="S27" s="71" t="str"/>
      <x:c r="T27" s="71" t="str"/>
      <x:c r="U27" s="71" t="str"/>
      <x:c r="V27" s="49" t="str">
        <x:v>A dense gray-brown root with dark metallic streaks under the bark. It feels heavy for its size and smells of wet clay and iron.</x:v>
      </x:c>
    </x:row>
    <x:row r="28">
      <x:c r="A28" s="48" t="str">
        <x:v>Core</x:v>
      </x:c>
      <x:c r="B28" s="71" t="str">
        <x:v>Root</x:v>
      </x:c>
      <x:c r="C28" s="71" t="str">
        <x:v>Uncommon</x:v>
      </x:c>
      <x:c r="D28" s="71" t="str">
        <x:v>Knotted Tuber</x:v>
      </x:c>
      <x:c r="E28" s="71" t="n">
        <x:v>2</x:v>
      </x:c>
      <x:c r="F28" s="71" t="n">
        <x:v>0</x:v>
      </x:c>
      <x:c r="G28" s="71" t="n">
        <x:v>25</x:v>
      </x:c>
      <x:c r="H28" s="71" t="n">
        <x:v>0</x:v>
      </x:c>
      <x:c r="I28" s="71" t="n">
        <x:v>1</x:v>
      </x:c>
      <x:c r="J28" s="71" t="n">
        <x:v>0</x:v>
      </x:c>
      <x:c r="K28" s="71" t="n">
        <x:v>0</x:v>
      </x:c>
      <x:c r="L28" s="71" t="str"/>
      <x:c r="M28" s="71" t="str"/>
      <x:c r="N28" s="71" t="str"/>
      <x:c r="O28" s="71" t="str"/>
      <x:c r="P28" s="71" t="str"/>
      <x:c r="Q28" s="71" t="str"/>
      <x:c r="R28" s="71" t="str"/>
      <x:c r="S28" s="71" t="str"/>
      <x:c r="T28" s="71" t="str"/>
      <x:c r="U28" s="71" t="str"/>
      <x:c r="V28" s="49" t="str">
        <x:v>Several smooth cream tubers grow fused around one central knot. They are heavy with clear sap and smell of potato skin, sweet grass, and clean loam.</x:v>
      </x:c>
    </x:row>
    <x:row r="29">
      <x:c r="A29" s="48" t="str">
        <x:v>Core</x:v>
      </x:c>
      <x:c r="B29" s="71" t="str">
        <x:v>Root</x:v>
      </x:c>
      <x:c r="C29" s="71" t="str">
        <x:v>Uncommon</x:v>
      </x:c>
      <x:c r="D29" s="71" t="str">
        <x:v>Red Hearthroot</x:v>
      </x:c>
      <x:c r="E29" s="71" t="n">
        <x:v>2</x:v>
      </x:c>
      <x:c r="F29" s="71" t="n">
        <x:v>25</x:v>
      </x:c>
      <x:c r="G29" s="71" t="n">
        <x:v>50</x:v>
      </x:c>
      <x:c r="H29" s="71" t="n">
        <x:v>0</x:v>
      </x:c>
      <x:c r="I29" s="71" t="n">
        <x:v>0</x:v>
      </x:c>
      <x:c r="J29" s="71" t="n">
        <x:v>0</x:v>
      </x:c>
      <x:c r="K29" s="71" t="n">
        <x:v>0</x:v>
      </x:c>
      <x:c r="L29" s="71" t="str"/>
      <x:c r="M29" s="71" t="str"/>
      <x:c r="N29" s="71" t="str"/>
      <x:c r="O29" s="71" t="str"/>
      <x:c r="P29" s="71" t="str"/>
      <x:c r="Q29" s="71" t="str"/>
      <x:c r="R29" s="71" t="str"/>
      <x:c r="S29" s="71" t="str"/>
      <x:c r="T29" s="71" t="str"/>
      <x:c r="U29" s="71" t="str"/>
      <x:c r="V29" s="49" t="str">
        <x:v>A red-veined root that warms slightly in the palm. When shaved, it smells of cinnamon bark, damp soil, and smoke from a banked fire.</x:v>
      </x:c>
    </x:row>
    <x:row r="30">
      <x:c r="A30" s="48" t="str">
        <x:v>Core</x:v>
      </x:c>
      <x:c r="B30" s="71" t="str">
        <x:v>Root</x:v>
      </x:c>
      <x:c r="C30" s="71" t="str">
        <x:v>Rare</x:v>
      </x:c>
      <x:c r="D30" s="71" t="str">
        <x:v>Bloodsap Root</x:v>
      </x:c>
      <x:c r="E30" s="71" t="n">
        <x:v>4</x:v>
      </x:c>
      <x:c r="F30" s="71" t="n">
        <x:v>50</x:v>
      </x:c>
      <x:c r="G30" s="71" t="n">
        <x:v>50</x:v>
      </x:c>
      <x:c r="H30" s="71" t="n">
        <x:v>0</x:v>
      </x:c>
      <x:c r="I30" s="71" t="n">
        <x:v>0</x:v>
      </x:c>
      <x:c r="J30" s="71" t="n">
        <x:v>0</x:v>
      </x:c>
      <x:c r="K30" s="71" t="n">
        <x:v>0</x:v>
      </x:c>
      <x:c r="L30" s="71" t="str"/>
      <x:c r="M30" s="71" t="str"/>
      <x:c r="N30" s="71" t="str"/>
      <x:c r="O30" s="71" t="str"/>
      <x:c r="P30" s="71" t="str"/>
      <x:c r="Q30" s="71" t="str"/>
      <x:c r="R30" s="71" t="str"/>
      <x:c r="S30" s="71" t="str"/>
      <x:c r="T30" s="71" t="str"/>
      <x:c r="U30" s="71" t="str"/>
      <x:c r="V30" s="49" t="str">
        <x:v>A dark red root that beads warm crimson sap when sliced. Its fibers are dense and elastic, and it smells of iron, cedar, and bruised herbs.</x:v>
      </x:c>
    </x:row>
    <x:row r="31">
      <x:c r="A31" s="48" t="str">
        <x:v>Core</x:v>
      </x:c>
      <x:c r="B31" s="71" t="str">
        <x:v>Root</x:v>
      </x:c>
      <x:c r="C31" s="71" t="str">
        <x:v>Rare</x:v>
      </x:c>
      <x:c r="D31" s="71" t="str">
        <x:v>Giantroot</x:v>
      </x:c>
      <x:c r="E31" s="71" t="n">
        <x:v>4</x:v>
      </x:c>
      <x:c r="F31" s="71" t="n">
        <x:v>0</x:v>
      </x:c>
      <x:c r="G31" s="71" t="n">
        <x:v>100</x:v>
      </x:c>
      <x:c r="H31" s="71" t="n">
        <x:v>0</x:v>
      </x:c>
      <x:c r="I31" s="71" t="n">
        <x:v>0</x:v>
      </x:c>
      <x:c r="J31" s="71" t="n">
        <x:v>0</x:v>
      </x:c>
      <x:c r="K31" s="71" t="n">
        <x:v>0</x:v>
      </x:c>
      <x:c r="L31" s="71" t="str"/>
      <x:c r="M31" s="71" t="str"/>
      <x:c r="N31" s="71" t="str"/>
      <x:c r="O31" s="71" t="str"/>
      <x:c r="P31" s="71" t="str"/>
      <x:c r="Q31" s="71" t="str"/>
      <x:c r="R31" s="71" t="str"/>
      <x:c r="S31" s="71" t="str"/>
      <x:c r="T31" s="71" t="str"/>
      <x:c r="U31" s="71" t="str"/>
      <x:c r="V31" s="49" t="str">
        <x:v>A thick corded root with broad growth rings and rough outer bark. It smells old, woody, and mineral, like roots pulled from a cliffside.</x:v>
      </x:c>
    </x:row>
    <x:row r="32">
      <x:c r="A32" s="48" t="str">
        <x:v>Core</x:v>
      </x:c>
      <x:c r="B32" s="71" t="str">
        <x:v>Root</x:v>
      </x:c>
      <x:c r="C32" s="71" t="str">
        <x:v>Rare</x:v>
      </x:c>
      <x:c r="D32" s="71" t="str">
        <x:v>Heartroot Cluster</x:v>
      </x:c>
      <x:c r="E32" s="71" t="n">
        <x:v>4</x:v>
      </x:c>
      <x:c r="F32" s="71" t="n">
        <x:v>0</x:v>
      </x:c>
      <x:c r="G32" s="71" t="n">
        <x:v>50</x:v>
      </x:c>
      <x:c r="H32" s="71" t="n">
        <x:v>0</x:v>
      </x:c>
      <x:c r="I32" s="71" t="n">
        <x:v>1</x:v>
      </x:c>
      <x:c r="J32" s="71" t="n">
        <x:v>0</x:v>
      </x:c>
      <x:c r="K32" s="71" t="n">
        <x:v>0</x:v>
      </x:c>
      <x:c r="L32" s="71" t="str"/>
      <x:c r="M32" s="71" t="str"/>
      <x:c r="N32" s="71" t="str"/>
      <x:c r="O32" s="71" t="str"/>
      <x:c r="P32" s="71" t="str"/>
      <x:c r="Q32" s="71" t="str"/>
      <x:c r="R32" s="71" t="str"/>
      <x:c r="S32" s="71" t="str"/>
      <x:c r="T32" s="71" t="str"/>
      <x:c r="U32" s="71" t="str"/>
      <x:c r="V32" s="49" t="str">
        <x:v>Several small roots twist around a red central nub. Cut pieces bead with amber sap and smell of loam, herbs, and warm blood.</x:v>
      </x:c>
    </x:row>
    <x:row r="33">
      <x:c r="A33" s="48" t="str">
        <x:v>Core</x:v>
      </x:c>
      <x:c r="B33" s="71" t="str">
        <x:v>Root</x:v>
      </x:c>
      <x:c r="C33" s="71" t="str">
        <x:v>Rare</x:v>
      </x:c>
      <x:c r="D33" s="71" t="str">
        <x:v>Oathroot</x:v>
      </x:c>
      <x:c r="E33" s="71" t="n">
        <x:v>4</x:v>
      </x:c>
      <x:c r="F33" s="71" t="n">
        <x:v>0</x:v>
      </x:c>
      <x:c r="G33" s="71" t="n">
        <x:v>0</x:v>
      </x:c>
      <x:c r="H33" s="71" t="n">
        <x:v>0</x:v>
      </x:c>
      <x:c r="I33" s="71" t="n">
        <x:v>0</x:v>
      </x:c>
      <x:c r="J33" s="71" t="n">
        <x:v>0</x:v>
      </x:c>
      <x:c r="K33" s="71" t="n">
        <x:v>1</x:v>
      </x:c>
      <x:c r="L33" s="71" t="str"/>
      <x:c r="M33" s="71" t="str">
        <x:v>Paralyzed</x:v>
      </x:c>
      <x:c r="N33" s="71" t="str">
        <x:v>Constitution</x:v>
      </x:c>
      <x:c r="O33" s="71" t="str">
        <x:v>1 minute</x:v>
      </x:c>
      <x:c r="P33" s="71" t="str">
        <x:v>end of each turn</x:v>
      </x:c>
      <x:c r="Q33" s="71" t="str">
        <x:v>Poisons, Bombs</x:v>
      </x:c>
      <x:c r="R33" s="71" t="str">
        <x:v>No budget cost</x:v>
      </x:c>
      <x:c r="S33" s="71" t="str"/>
      <x:c r="T33" s="71" t="str"/>
      <x:c r="U33" s="71" t="str"/>
      <x:c r="V33" s="49" t="str">
        <x:v>A straight black root marked by natural silver rings. It is hard as horn, smells of incense and storm-soaked soil, and tastes sharply mineral.</x:v>
      </x:c>
    </x:row>
    <x:row r="34">
      <x:c r="A34" s="48" t="str">
        <x:v>Core</x:v>
      </x:c>
      <x:c r="B34" s="71" t="str">
        <x:v>Root</x:v>
      </x:c>
      <x:c r="C34" s="71" t="str">
        <x:v>Very Rare</x:v>
      </x:c>
      <x:c r="D34" s="71" t="str">
        <x:v>Dragonheart Root</x:v>
      </x:c>
      <x:c r="E34" s="71" t="n">
        <x:v>6</x:v>
      </x:c>
      <x:c r="F34" s="71" t="n">
        <x:v>0</x:v>
      </x:c>
      <x:c r="G34" s="71" t="n">
        <x:v>75</x:v>
      </x:c>
      <x:c r="H34" s="71" t="n">
        <x:v>0</x:v>
      </x:c>
      <x:c r="I34" s="71" t="n">
        <x:v>2</x:v>
      </x:c>
      <x:c r="J34" s="71" t="n">
        <x:v>0</x:v>
      </x:c>
      <x:c r="K34" s="71" t="n">
        <x:v>0</x:v>
      </x:c>
      <x:c r="L34" s="71" t="str"/>
      <x:c r="M34" s="71" t="str"/>
      <x:c r="N34" s="71" t="str"/>
      <x:c r="O34" s="71" t="str"/>
      <x:c r="P34" s="71" t="str"/>
      <x:c r="Q34" s="71" t="str"/>
      <x:c r="R34" s="71" t="str"/>
      <x:c r="S34" s="71" t="str"/>
      <x:c r="T34" s="71" t="str"/>
      <x:c r="U34" s="71" t="str"/>
      <x:c r="V34" s="49" t="str">
        <x:v>A thick crimson root with overlapping scales and a warm pulse under its bark. It smells of cinnamon, hot stone, and animal musk, and steams when cut.</x:v>
      </x:c>
    </x:row>
    <x:row r="35">
      <x:c r="A35" s="48" t="str">
        <x:v>Core</x:v>
      </x:c>
      <x:c r="B35" s="71" t="str">
        <x:v>Root</x:v>
      </x:c>
      <x:c r="C35" s="71" t="str">
        <x:v>Very Rare</x:v>
      </x:c>
      <x:c r="D35" s="71" t="str">
        <x:v>Sagevein Root</x:v>
      </x:c>
      <x:c r="E35" s="71" t="n">
        <x:v>6</x:v>
      </x:c>
      <x:c r="F35" s="71" t="n">
        <x:v>50</x:v>
      </x:c>
      <x:c r="G35" s="71" t="n">
        <x:v>75</x:v>
      </x:c>
      <x:c r="H35" s="71" t="n">
        <x:v>0</x:v>
      </x:c>
      <x:c r="I35" s="71" t="n">
        <x:v>0</x:v>
      </x:c>
      <x:c r="J35" s="71" t="n">
        <x:v>0</x:v>
      </x:c>
      <x:c r="K35" s="71" t="n">
        <x:v>0</x:v>
      </x:c>
      <x:c r="L35" s="71" t="str"/>
      <x:c r="M35" s="71" t="str"/>
      <x:c r="N35" s="71" t="str"/>
      <x:c r="O35" s="71" t="str"/>
      <x:c r="P35" s="71" t="str"/>
      <x:c r="Q35" s="71" t="str"/>
      <x:c r="R35" s="71" t="str"/>
      <x:c r="S35" s="71" t="str"/>
      <x:c r="T35" s="71" t="str"/>
      <x:c r="U35" s="71" t="str"/>
      <x:c r="V35" s="49" t="str">
        <x:v>A pale blue root braided with silver threads. It feels cool and heavy in the hand, smells of rain on old stone, and leaves a clean mineral bite on the tongue.</x:v>
      </x:c>
    </x:row>
    <x:row r="36">
      <x:c r="A36" s="48" t="str">
        <x:v>Core</x:v>
      </x:c>
      <x:c r="B36" s="71" t="str">
        <x:v>Root</x:v>
      </x:c>
      <x:c r="C36" s="71" t="str">
        <x:v>Very Rare</x:v>
      </x:c>
      <x:c r="D36" s="71" t="str">
        <x:v>Titan Root</x:v>
      </x:c>
      <x:c r="E36" s="71" t="n">
        <x:v>6</x:v>
      </x:c>
      <x:c r="F36" s="71" t="n">
        <x:v>0</x:v>
      </x:c>
      <x:c r="G36" s="71" t="n">
        <x:v>25</x:v>
      </x:c>
      <x:c r="H36" s="71" t="n">
        <x:v>0</x:v>
      </x:c>
      <x:c r="I36" s="71" t="n">
        <x:v>0</x:v>
      </x:c>
      <x:c r="J36" s="71" t="n">
        <x:v>0</x:v>
      </x:c>
      <x:c r="K36" s="71" t="n">
        <x:v>1</x:v>
      </x:c>
      <x:c r="L36" s="71" t="str"/>
      <x:c r="M36" s="71" t="str"/>
      <x:c r="N36" s="71" t="str"/>
      <x:c r="O36" s="71" t="str"/>
      <x:c r="P36" s="71" t="str"/>
      <x:c r="Q36" s="71" t="str"/>
      <x:c r="R36" s="71" t="str"/>
      <x:c r="S36" s="71" t="str"/>
      <x:c r="T36" s="71" t="str"/>
      <x:c r="U36" s="71" t="str"/>
      <x:c r="V36" s="49" t="str">
        <x:v>A massive splinter of root with stone-hard grain and a peppery bite. It smells of crushed bark, mountain soil, and animal musk.</x:v>
      </x:c>
    </x:row>
    <x:row r="37">
      <x:c r="A37" s="48" t="str">
        <x:v>Core</x:v>
      </x:c>
      <x:c r="B37" s="71" t="str">
        <x:v>Root</x:v>
      </x:c>
      <x:c r="C37" s="71" t="str">
        <x:v>Very Rare</x:v>
      </x:c>
      <x:c r="D37" s="71" t="str">
        <x:v>Worldroot Knot</x:v>
      </x:c>
      <x:c r="E37" s="71" t="n">
        <x:v>6</x:v>
      </x:c>
      <x:c r="F37" s="71" t="n">
        <x:v>0</x:v>
      </x:c>
      <x:c r="G37" s="71" t="n">
        <x:v>125</x:v>
      </x:c>
      <x:c r="H37" s="71" t="n">
        <x:v>0</x:v>
      </x:c>
      <x:c r="I37" s="71" t="n">
        <x:v>0</x:v>
      </x:c>
      <x:c r="J37" s="71" t="n">
        <x:v>0</x:v>
      </x:c>
      <x:c r="K37" s="71" t="n">
        <x:v>0</x:v>
      </x:c>
      <x:c r="L37" s="71" t="str"/>
      <x:c r="M37" s="71" t="str"/>
      <x:c r="N37" s="71" t="str"/>
      <x:c r="O37" s="71" t="str"/>
      <x:c r="P37" s="71" t="str"/>
      <x:c r="Q37" s="71" t="str"/>
      <x:c r="R37" s="71" t="str"/>
      <x:c r="S37" s="71" t="str"/>
      <x:c r="T37" s="71" t="str"/>
      <x:c r="U37" s="71" t="str"/>
      <x:c r="V37" s="49" t="str">
        <x:v>A dark knot of root threaded with pale gold lines. It seems to pulse faintly in water and smells of ancient forests after rain.</x:v>
      </x:c>
    </x:row>
    <x:row r="38">
      <x:c r="A38" s="48" t="str">
        <x:v>Core</x:v>
      </x:c>
      <x:c r="B38" s="71" t="str">
        <x:v>Sap / Resin</x:v>
      </x:c>
      <x:c r="C38" s="71" t="str">
        <x:v>Common</x:v>
      </x:c>
      <x:c r="D38" s="71" t="str">
        <x:v>Birch Tear</x:v>
      </x:c>
      <x:c r="E38" s="71" t="n">
        <x:v>0</x:v>
      </x:c>
      <x:c r="F38" s="71" t="n">
        <x:v>25</x:v>
      </x:c>
      <x:c r="G38" s="71" t="n">
        <x:v>0</x:v>
      </x:c>
      <x:c r="H38" s="71" t="n">
        <x:v>0</x:v>
      </x:c>
      <x:c r="I38" s="71" t="n">
        <x:v>0</x:v>
      </x:c>
      <x:c r="J38" s="71" t="n">
        <x:v>0</x:v>
      </x:c>
      <x:c r="K38" s="71" t="n">
        <x:v>0</x:v>
      </x:c>
      <x:c r="L38" s="71" t="str"/>
      <x:c r="M38" s="71" t="str"/>
      <x:c r="N38" s="71" t="str"/>
      <x:c r="O38" s="71" t="str"/>
      <x:c r="P38" s="71" t="str"/>
      <x:c r="Q38" s="71" t="str"/>
      <x:c r="R38" s="71" t="str"/>
      <x:c r="S38" s="71" t="str"/>
      <x:c r="T38" s="71" t="str"/>
      <x:c r="U38" s="71" t="str"/>
      <x:c r="V38" s="49" t="str">
        <x:v>A cloudy bead of pale birch resin that softens in body heat. It smells sweet and green, with hints of winter bark and clean smoke.</x:v>
      </x:c>
    </x:row>
    <x:row r="39">
      <x:c r="A39" s="48" t="str">
        <x:v>Core</x:v>
      </x:c>
      <x:c r="B39" s="71" t="str">
        <x:v>Sap / Resin</x:v>
      </x:c>
      <x:c r="C39" s="71" t="str">
        <x:v>Common</x:v>
      </x:c>
      <x:c r="D39" s="71" t="str">
        <x:v>Firblood Pitch</x:v>
      </x:c>
      <x:c r="E39" s="71" t="n">
        <x:v>0</x:v>
      </x:c>
      <x:c r="F39" s="71" t="n">
        <x:v>25</x:v>
      </x:c>
      <x:c r="G39" s="71" t="n">
        <x:v>0</x:v>
      </x:c>
      <x:c r="H39" s="71" t="n">
        <x:v>0</x:v>
      </x:c>
      <x:c r="I39" s="71" t="n">
        <x:v>0</x:v>
      </x:c>
      <x:c r="J39" s="71" t="n">
        <x:v>0</x:v>
      </x:c>
      <x:c r="K39" s="71" t="n">
        <x:v>0</x:v>
      </x:c>
      <x:c r="L39" s="71" t="str"/>
      <x:c r="M39" s="71" t="str"/>
      <x:c r="N39" s="71" t="str"/>
      <x:c r="O39" s="71" t="str"/>
      <x:c r="P39" s="71" t="str"/>
      <x:c r="Q39" s="71" t="str"/>
      <x:c r="R39" s="71" t="str"/>
      <x:c r="S39" s="71" t="str"/>
      <x:c r="T39" s="71" t="str"/>
      <x:c r="U39" s="71" t="str"/>
      <x:c r="V39" s="49" t="str">
        <x:v>A dark red pitch that beads slowly from fir bark. It is sticky and warm, smelling of pine smoke, bitter citrus, and fresh-cut timber.</x:v>
      </x:c>
    </x:row>
    <x:row r="40">
      <x:c r="A40" s="48" t="str">
        <x:v>Core</x:v>
      </x:c>
      <x:c r="B40" s="71" t="str">
        <x:v>Sap / Resin</x:v>
      </x:c>
      <x:c r="C40" s="71" t="str">
        <x:v>Common</x:v>
      </x:c>
      <x:c r="D40" s="71" t="str">
        <x:v>Pine Pitch</x:v>
      </x:c>
      <x:c r="E40" s="71" t="n">
        <x:v>0</x:v>
      </x:c>
      <x:c r="F40" s="71" t="n">
        <x:v>0</x:v>
      </x:c>
      <x:c r="G40" s="71" t="n">
        <x:v>25</x:v>
      </x:c>
      <x:c r="H40" s="71" t="n">
        <x:v>0</x:v>
      </x:c>
      <x:c r="I40" s="71" t="n">
        <x:v>0</x:v>
      </x:c>
      <x:c r="J40" s="71" t="n">
        <x:v>0</x:v>
      </x:c>
      <x:c r="K40" s="71" t="n">
        <x:v>0</x:v>
      </x:c>
      <x:c r="L40" s="71" t="str"/>
      <x:c r="M40" s="71" t="str"/>
      <x:c r="N40" s="71" t="str"/>
      <x:c r="O40" s="71" t="str"/>
      <x:c r="P40" s="71" t="str"/>
      <x:c r="Q40" s="71" t="str"/>
      <x:c r="R40" s="71" t="str"/>
      <x:c r="S40" s="71" t="str"/>
      <x:c r="T40" s="71" t="str"/>
      <x:c r="U40" s="71" t="str"/>
      <x:c r="V40" s="49" t="str">
        <x:v>Sticky golden pitch that strings between fingers. It smells sharply of pine needles, clean resin, and smoke-warmed bark.</x:v>
      </x:c>
    </x:row>
    <x:row r="41">
      <x:c r="A41" s="48" t="str">
        <x:v>Core</x:v>
      </x:c>
      <x:c r="B41" s="71" t="str">
        <x:v>Sap / Resin</x:v>
      </x:c>
      <x:c r="C41" s="71" t="str">
        <x:v>Common</x:v>
      </x:c>
      <x:c r="D41" s="71" t="str">
        <x:v>Reedgum</x:v>
      </x:c>
      <x:c r="E41" s="71" t="n">
        <x:v>0</x:v>
      </x:c>
      <x:c r="F41" s="71" t="n">
        <x:v>0</x:v>
      </x:c>
      <x:c r="G41" s="71" t="n">
        <x:v>25</x:v>
      </x:c>
      <x:c r="H41" s="71" t="n">
        <x:v>0</x:v>
      </x:c>
      <x:c r="I41" s="71" t="n">
        <x:v>0</x:v>
      </x:c>
      <x:c r="J41" s="71" t="n">
        <x:v>0</x:v>
      </x:c>
      <x:c r="K41" s="71" t="n">
        <x:v>0</x:v>
      </x:c>
      <x:c r="L41" s="71" t="str"/>
      <x:c r="M41" s="71" t="str"/>
      <x:c r="N41" s="71" t="str"/>
      <x:c r="O41" s="71" t="str"/>
      <x:c r="P41" s="71" t="str"/>
      <x:c r="Q41" s="71" t="str"/>
      <x:c r="R41" s="71" t="str"/>
      <x:c r="S41" s="71" t="str"/>
      <x:c r="T41" s="71" t="str"/>
      <x:c r="U41" s="71" t="str"/>
      <x:c r="V41" s="49" t="str">
        <x:v>Amber-green gum scraped from marsh reeds in flexible ribbons. It is tacky, faintly salty, and smells of cut grass, pond water, and warm sugar.</x:v>
      </x:c>
    </x:row>
    <x:row r="42">
      <x:c r="A42" s="48" t="str">
        <x:v>Core</x:v>
      </x:c>
      <x:c r="B42" s="71" t="str">
        <x:v>Sap / Resin</x:v>
      </x:c>
      <x:c r="C42" s="71" t="str">
        <x:v>Common</x:v>
      </x:c>
      <x:c r="D42" s="71" t="str">
        <x:v>Willow Gum</x:v>
      </x:c>
      <x:c r="E42" s="71" t="n">
        <x:v>0</x:v>
      </x:c>
      <x:c r="F42" s="71" t="n">
        <x:v>0</x:v>
      </x:c>
      <x:c r="G42" s="71" t="n">
        <x:v>25</x:v>
      </x:c>
      <x:c r="H42" s="71" t="n">
        <x:v>0</x:v>
      </x:c>
      <x:c r="I42" s="71" t="n">
        <x:v>0</x:v>
      </x:c>
      <x:c r="J42" s="71" t="n">
        <x:v>0</x:v>
      </x:c>
      <x:c r="K42" s="71" t="n">
        <x:v>0</x:v>
      </x:c>
      <x:c r="L42" s="71" t="str"/>
      <x:c r="M42" s="71" t="str"/>
      <x:c r="N42" s="71" t="str"/>
      <x:c r="O42" s="71" t="str"/>
      <x:c r="P42" s="71" t="str"/>
      <x:c r="Q42" s="71" t="str"/>
      <x:c r="R42" s="71" t="str"/>
      <x:c r="S42" s="71" t="str"/>
      <x:c r="T42" s="71" t="str"/>
      <x:c r="U42" s="71" t="str"/>
      <x:c r="V42" s="49" t="str">
        <x:v>A clear-green gum that stretches into fine threads between the fingers. It smells of cut willow, cucumber, and river water, with a mildly sweet taste.</x:v>
      </x:c>
    </x:row>
    <x:row r="43">
      <x:c r="A43" s="48" t="str">
        <x:v>Core</x:v>
      </x:c>
      <x:c r="B43" s="71" t="str">
        <x:v>Sap / Resin</x:v>
      </x:c>
      <x:c r="C43" s="71" t="str">
        <x:v>Uncommon</x:v>
      </x:c>
      <x:c r="D43" s="71" t="str">
        <x:v>Amber Sap</x:v>
      </x:c>
      <x:c r="E43" s="71" t="n">
        <x:v>2</x:v>
      </x:c>
      <x:c r="F43" s="71" t="n">
        <x:v>0</x:v>
      </x:c>
      <x:c r="G43" s="71" t="n">
        <x:v>75</x:v>
      </x:c>
      <x:c r="H43" s="71" t="n">
        <x:v>0</x:v>
      </x:c>
      <x:c r="I43" s="71" t="n">
        <x:v>0</x:v>
      </x:c>
      <x:c r="J43" s="71" t="n">
        <x:v>0</x:v>
      </x:c>
      <x:c r="K43" s="71" t="n">
        <x:v>0</x:v>
      </x:c>
      <x:c r="L43" s="71" t="str"/>
      <x:c r="M43" s="71" t="str"/>
      <x:c r="N43" s="71" t="str"/>
      <x:c r="O43" s="71" t="str"/>
      <x:c r="P43" s="71" t="str"/>
      <x:c r="Q43" s="71" t="str"/>
      <x:c r="R43" s="71" t="str"/>
      <x:c r="S43" s="71" t="str"/>
      <x:c r="T43" s="71" t="str"/>
      <x:c r="U43" s="71" t="str"/>
      <x:c r="V43" s="49" t="str">
        <x:v>A honey-colored sap sealed in soft wax. It smells sweet, green, and medicinal, and it clings to glass in slow bright streaks.</x:v>
      </x:c>
    </x:row>
    <x:row r="44">
      <x:c r="A44" s="48" t="str">
        <x:v>Core</x:v>
      </x:c>
      <x:c r="B44" s="71" t="str">
        <x:v>Sap / Resin</x:v>
      </x:c>
      <x:c r="C44" s="71" t="str">
        <x:v>Uncommon</x:v>
      </x:c>
      <x:c r="D44" s="71" t="str">
        <x:v>Glassgum Resin</x:v>
      </x:c>
      <x:c r="E44" s="71" t="n">
        <x:v>2</x:v>
      </x:c>
      <x:c r="F44" s="71" t="n">
        <x:v>50</x:v>
      </x:c>
      <x:c r="G44" s="71" t="n">
        <x:v>25</x:v>
      </x:c>
      <x:c r="H44" s="71" t="n">
        <x:v>0</x:v>
      </x:c>
      <x:c r="I44" s="71" t="n">
        <x:v>0</x:v>
      </x:c>
      <x:c r="J44" s="71" t="n">
        <x:v>0</x:v>
      </x:c>
      <x:c r="K44" s="71" t="n">
        <x:v>0</x:v>
      </x:c>
      <x:c r="L44" s="71" t="str"/>
      <x:c r="M44" s="71" t="str"/>
      <x:c r="N44" s="71" t="str"/>
      <x:c r="O44" s="71" t="str"/>
      <x:c r="P44" s="71" t="str"/>
      <x:c r="Q44" s="71" t="str"/>
      <x:c r="R44" s="71" t="str"/>
      <x:c r="S44" s="71" t="str"/>
      <x:c r="T44" s="71" t="str"/>
      <x:c r="U44" s="71" t="str"/>
      <x:c r="V44" s="49" t="str">
        <x:v>A clear resin bead that cracks like sugar glass. When warmed, it smells of minty sap and leaves a shining film on the spoon.</x:v>
      </x:c>
    </x:row>
    <x:row r="45">
      <x:c r="A45" s="48" t="str">
        <x:v>Core</x:v>
      </x:c>
      <x:c r="B45" s="71" t="str">
        <x:v>Sap / Resin</x:v>
      </x:c>
      <x:c r="C45" s="71" t="str">
        <x:v>Uncommon</x:v>
      </x:c>
      <x:c r="D45" s="71" t="str">
        <x:v>Honey Resin</x:v>
      </x:c>
      <x:c r="E45" s="71" t="n">
        <x:v>2</x:v>
      </x:c>
      <x:c r="F45" s="71" t="n">
        <x:v>0</x:v>
      </x:c>
      <x:c r="G45" s="71" t="n">
        <x:v>25</x:v>
      </x:c>
      <x:c r="H45" s="71" t="n">
        <x:v>0</x:v>
      </x:c>
      <x:c r="I45" s="71" t="n">
        <x:v>1</x:v>
      </x:c>
      <x:c r="J45" s="71" t="n">
        <x:v>0</x:v>
      </x:c>
      <x:c r="K45" s="71" t="n">
        <x:v>0</x:v>
      </x:c>
      <x:c r="L45" s="71" t="str"/>
      <x:c r="M45" s="71" t="str"/>
      <x:c r="N45" s="71" t="str"/>
      <x:c r="O45" s="71" t="str"/>
      <x:c r="P45" s="71" t="str"/>
      <x:c r="Q45" s="71" t="str"/>
      <x:c r="R45" s="71" t="str"/>
      <x:c r="S45" s="71" t="str"/>
      <x:c r="T45" s="71" t="str"/>
      <x:c r="U45" s="71" t="str"/>
      <x:c r="V45" s="49" t="str">
        <x:v>A soft gold resin filled with tiny air bubbles. It stretches into threads, tastes faintly floral, and smells of beeswax, clover, and sun-warmed wood.</x:v>
      </x:c>
    </x:row>
    <x:row r="46">
      <x:c r="A46" s="48" t="str">
        <x:v>Core</x:v>
      </x:c>
      <x:c r="B46" s="71" t="str">
        <x:v>Sap / Resin</x:v>
      </x:c>
      <x:c r="C46" s="71" t="str">
        <x:v>Uncommon</x:v>
      </x:c>
      <x:c r="D46" s="71" t="str">
        <x:v>Moonpine Resin</x:v>
      </x:c>
      <x:c r="E46" s="71" t="n">
        <x:v>2</x:v>
      </x:c>
      <x:c r="F46" s="71" t="n">
        <x:v>25</x:v>
      </x:c>
      <x:c r="G46" s="71" t="n">
        <x:v>50</x:v>
      </x:c>
      <x:c r="H46" s="71" t="n">
        <x:v>0</x:v>
      </x:c>
      <x:c r="I46" s="71" t="n">
        <x:v>0</x:v>
      </x:c>
      <x:c r="J46" s="71" t="n">
        <x:v>0</x:v>
      </x:c>
      <x:c r="K46" s="71" t="n">
        <x:v>0</x:v>
      </x:c>
      <x:c r="L46" s="71" t="str"/>
      <x:c r="M46" s="71" t="str"/>
      <x:c r="N46" s="71" t="str"/>
      <x:c r="O46" s="71" t="str"/>
      <x:c r="P46" s="71" t="str"/>
      <x:c r="Q46" s="71" t="str"/>
      <x:c r="R46" s="71" t="str"/>
      <x:c r="S46" s="71" t="str"/>
      <x:c r="T46" s="71" t="str"/>
      <x:c r="U46" s="71" t="str"/>
      <x:c r="V46" s="49" t="str">
        <x:v>A pearl-blue resin that glows softly in darkness. It is smooth as glass when cool, smells of pine needles and moonlit frost, and melts at body heat.</x:v>
      </x:c>
    </x:row>
    <x:row r="47">
      <x:c r="A47" s="48" t="str">
        <x:v>Core</x:v>
      </x:c>
      <x:c r="B47" s="71" t="str">
        <x:v>Sap / Resin</x:v>
      </x:c>
      <x:c r="C47" s="71" t="str">
        <x:v>Uncommon</x:v>
      </x:c>
      <x:c r="D47" s="71" t="str">
        <x:v>Sweetbark Amber</x:v>
      </x:c>
      <x:c r="E47" s="71" t="n">
        <x:v>2</x:v>
      </x:c>
      <x:c r="F47" s="71" t="n">
        <x:v>25</x:v>
      </x:c>
      <x:c r="G47" s="71" t="n">
        <x:v>50</x:v>
      </x:c>
      <x:c r="H47" s="71" t="n">
        <x:v>0</x:v>
      </x:c>
      <x:c r="I47" s="71" t="n">
        <x:v>0</x:v>
      </x:c>
      <x:c r="J47" s="71" t="n">
        <x:v>0</x:v>
      </x:c>
      <x:c r="K47" s="71" t="n">
        <x:v>0</x:v>
      </x:c>
      <x:c r="L47" s="71" t="str"/>
      <x:c r="M47" s="71" t="str"/>
      <x:c r="N47" s="71" t="str"/>
      <x:c r="O47" s="71" t="str"/>
      <x:c r="P47" s="71" t="str"/>
      <x:c r="Q47" s="71" t="str"/>
      <x:c r="R47" s="71" t="str"/>
      <x:c r="S47" s="71" t="str"/>
      <x:c r="T47" s="71" t="str"/>
      <x:c r="U47" s="71" t="str"/>
      <x:c r="V47" s="49" t="str">
        <x:v>Golden amber tears with tiny bubbles trapped inside. They crack like hard candy, smell of vanilla bark and honey, and leave a lingering warm sweetness.</x:v>
      </x:c>
    </x:row>
    <x:row r="48">
      <x:c r="A48" s="48" t="str">
        <x:v>Core</x:v>
      </x:c>
      <x:c r="B48" s="71" t="str">
        <x:v>Sap / Resin</x:v>
      </x:c>
      <x:c r="C48" s="71" t="str">
        <x:v>Rare</x:v>
      </x:c>
      <x:c r="D48" s="71" t="str">
        <x:v>Aetherglass Sap</x:v>
      </x:c>
      <x:c r="E48" s="71" t="n">
        <x:v>4</x:v>
      </x:c>
      <x:c r="F48" s="71" t="n">
        <x:v>25</x:v>
      </x:c>
      <x:c r="G48" s="71" t="n">
        <x:v>75</x:v>
      </x:c>
      <x:c r="H48" s="71" t="n">
        <x:v>0</x:v>
      </x:c>
      <x:c r="I48" s="71" t="n">
        <x:v>0</x:v>
      </x:c>
      <x:c r="J48" s="71" t="n">
        <x:v>0</x:v>
      </x:c>
      <x:c r="K48" s="71" t="n">
        <x:v>0</x:v>
      </x:c>
      <x:c r="L48" s="71" t="str"/>
      <x:c r="M48" s="71" t="str"/>
      <x:c r="N48" s="71" t="str"/>
      <x:c r="O48" s="71" t="str"/>
      <x:c r="P48" s="71" t="str"/>
      <x:c r="Q48" s="71" t="str"/>
      <x:c r="R48" s="71" t="str"/>
      <x:c r="S48" s="71" t="str"/>
      <x:c r="T48" s="71" t="str"/>
      <x:c r="U48" s="71" t="str"/>
      <x:c r="V48" s="49" t="str">
        <x:v>Nearly transparent sap with tiny star-like bubbles suspended inside. It feels cool, slick, and smells faintly of ozone and green wood.</x:v>
      </x:c>
    </x:row>
    <x:row r="49">
      <x:c r="A49" s="48" t="str">
        <x:v>Core</x:v>
      </x:c>
      <x:c r="B49" s="71" t="str">
        <x:v>Sap / Resin</x:v>
      </x:c>
      <x:c r="C49" s="71" t="str">
        <x:v>Rare</x:v>
      </x:c>
      <x:c r="D49" s="71" t="str">
        <x:v>Ghostglass Sap</x:v>
      </x:c>
      <x:c r="E49" s="71" t="n">
        <x:v>4</x:v>
      </x:c>
      <x:c r="F49" s="71" t="n">
        <x:v>50</x:v>
      </x:c>
      <x:c r="G49" s="71" t="n">
        <x:v>50</x:v>
      </x:c>
      <x:c r="H49" s="71" t="n">
        <x:v>0</x:v>
      </x:c>
      <x:c r="I49" s="71" t="n">
        <x:v>0</x:v>
      </x:c>
      <x:c r="J49" s="71" t="n">
        <x:v>0</x:v>
      </x:c>
      <x:c r="K49" s="71" t="n">
        <x:v>0</x:v>
      </x:c>
      <x:c r="L49" s="71" t="str"/>
      <x:c r="M49" s="71" t="str"/>
      <x:c r="N49" s="71" t="str"/>
      <x:c r="O49" s="71" t="str"/>
      <x:c r="P49" s="71" t="str"/>
      <x:c r="Q49" s="71" t="str"/>
      <x:c r="R49" s="71" t="str"/>
      <x:c r="S49" s="71" t="str"/>
      <x:c r="T49" s="71" t="str"/>
      <x:c r="U49" s="71" t="str"/>
      <x:c r="V49" s="49" t="str">
        <x:v>A colorless sap visible only where it bends the light. It feels dry despite being fluid and smells of cold stone, clean linen, and distant rain.</x:v>
      </x:c>
    </x:row>
    <x:row r="50">
      <x:c r="A50" s="48" t="str">
        <x:v>Core</x:v>
      </x:c>
      <x:c r="B50" s="71" t="str">
        <x:v>Sap / Resin</x:v>
      </x:c>
      <x:c r="C50" s="71" t="str">
        <x:v>Rare</x:v>
      </x:c>
      <x:c r="D50" s="71" t="str">
        <x:v>Mirrorgum</x:v>
      </x:c>
      <x:c r="E50" s="71" t="n">
        <x:v>4</x:v>
      </x:c>
      <x:c r="F50" s="71" t="n">
        <x:v>0</x:v>
      </x:c>
      <x:c r="G50" s="71" t="n">
        <x:v>50</x:v>
      </x:c>
      <x:c r="H50" s="71" t="n">
        <x:v>0</x:v>
      </x:c>
      <x:c r="I50" s="71" t="n">
        <x:v>1</x:v>
      </x:c>
      <x:c r="J50" s="71" t="n">
        <x:v>0</x:v>
      </x:c>
      <x:c r="K50" s="71" t="n">
        <x:v>0</x:v>
      </x:c>
      <x:c r="L50" s="71" t="str"/>
      <x:c r="M50" s="71" t="str">
        <x:v>Restrained</x:v>
      </x:c>
      <x:c r="N50" s="71" t="str">
        <x:v>Dexterity</x:v>
      </x:c>
      <x:c r="O50" s="71" t="str">
        <x:v>1 minute</x:v>
      </x:c>
      <x:c r="P50" s="71" t="str">
        <x:v>action to escape</x:v>
      </x:c>
      <x:c r="Q50" s="71" t="str">
        <x:v>Poisons, Bombs</x:v>
      </x:c>
      <x:c r="R50" s="71" t="str">
        <x:v>No budget cost</x:v>
      </x:c>
      <x:c r="S50" s="71" t="str"/>
      <x:c r="T50" s="71" t="str"/>
      <x:c r="U50" s="71" t="str"/>
      <x:c r="V50" s="49" t="str">
        <x:v>A clear resin that hardens to a glassy shine but bends without cracking. It smells of citrus peel, polished wood, and a trace of ozone.</x:v>
      </x:c>
    </x:row>
    <x:row r="51">
      <x:c r="A51" s="48" t="str">
        <x:v>Core</x:v>
      </x:c>
      <x:c r="B51" s="71" t="str">
        <x:v>Sap / Resin</x:v>
      </x:c>
      <x:c r="C51" s="71" t="str">
        <x:v>Rare</x:v>
      </x:c>
      <x:c r="D51" s="71" t="str">
        <x:v>Sunamber Resin</x:v>
      </x:c>
      <x:c r="E51" s="71" t="n">
        <x:v>4</x:v>
      </x:c>
      <x:c r="F51" s="71" t="n">
        <x:v>0</x:v>
      </x:c>
      <x:c r="G51" s="71" t="n">
        <x:v>100</x:v>
      </x:c>
      <x:c r="H51" s="71" t="n">
        <x:v>0</x:v>
      </x:c>
      <x:c r="I51" s="71" t="n">
        <x:v>0</x:v>
      </x:c>
      <x:c r="J51" s="71" t="n">
        <x:v>0</x:v>
      </x:c>
      <x:c r="K51" s="71" t="n">
        <x:v>0</x:v>
      </x:c>
      <x:c r="L51" s="71" t="str"/>
      <x:c r="M51" s="71" t="str"/>
      <x:c r="N51" s="71" t="str"/>
      <x:c r="O51" s="71" t="str"/>
      <x:c r="P51" s="71" t="str"/>
      <x:c r="Q51" s="71" t="str"/>
      <x:c r="R51" s="71" t="str"/>
      <x:c r="S51" s="71" t="str"/>
      <x:c r="T51" s="71" t="str"/>
      <x:c r="U51" s="71" t="str"/>
      <x:c r="V51" s="49" t="str">
        <x:v>A deep orange resin that glows under flame-light. It smells of hot pine, dried citrus peel, and old wooden temples.</x:v>
      </x:c>
    </x:row>
    <x:row r="52">
      <x:c r="A52" s="48" t="str">
        <x:v>Core</x:v>
      </x:c>
      <x:c r="B52" s="71" t="str">
        <x:v>Sap / Resin</x:v>
      </x:c>
      <x:c r="C52" s="71" t="str">
        <x:v>Very Rare</x:v>
      </x:c>
      <x:c r="D52" s="71" t="str">
        <x:v>Elder Amber Resin</x:v>
      </x:c>
      <x:c r="E52" s="71" t="n">
        <x:v>6</x:v>
      </x:c>
      <x:c r="F52" s="71" t="n">
        <x:v>0</x:v>
      </x:c>
      <x:c r="G52" s="71" t="n">
        <x:v>125</x:v>
      </x:c>
      <x:c r="H52" s="71" t="n">
        <x:v>0</x:v>
      </x:c>
      <x:c r="I52" s="71" t="n">
        <x:v>0</x:v>
      </x:c>
      <x:c r="J52" s="71" t="n">
        <x:v>0</x:v>
      </x:c>
      <x:c r="K52" s="71" t="n">
        <x:v>0</x:v>
      </x:c>
      <x:c r="L52" s="71" t="str"/>
      <x:c r="M52" s="71" t="str"/>
      <x:c r="N52" s="71" t="str"/>
      <x:c r="O52" s="71" t="str"/>
      <x:c r="P52" s="71" t="str"/>
      <x:c r="Q52" s="71" t="str"/>
      <x:c r="R52" s="71" t="str"/>
      <x:c r="S52" s="71" t="str"/>
      <x:c r="T52" s="71" t="str"/>
      <x:c r="U52" s="71" t="str"/>
      <x:c r="V52" s="49" t="str">
        <x:v>A dark honey resin with ancient bark flakes trapped inside. Its smell is deep, sweet, and smoky, like incense burned in a cedar hall.</x:v>
      </x:c>
    </x:row>
    <x:row r="53">
      <x:c r="A53" s="48" t="str">
        <x:v>Core</x:v>
      </x:c>
      <x:c r="B53" s="71" t="str">
        <x:v>Sap / Resin</x:v>
      </x:c>
      <x:c r="C53" s="71" t="str">
        <x:v>Very Rare</x:v>
      </x:c>
      <x:c r="D53" s="71" t="str">
        <x:v>Kingsap Amber</x:v>
      </x:c>
      <x:c r="E53" s="71" t="n">
        <x:v>6</x:v>
      </x:c>
      <x:c r="F53" s="71" t="n">
        <x:v>75</x:v>
      </x:c>
      <x:c r="G53" s="71" t="n">
        <x:v>0</x:v>
      </x:c>
      <x:c r="H53" s="71" t="n">
        <x:v>0</x:v>
      </x:c>
      <x:c r="I53" s="71" t="n">
        <x:v>2</x:v>
      </x:c>
      <x:c r="J53" s="71" t="n">
        <x:v>0</x:v>
      </x:c>
      <x:c r="K53" s="71" t="n">
        <x:v>0</x:v>
      </x:c>
      <x:c r="L53" s="71" t="str"/>
      <x:c r="M53" s="71" t="str"/>
      <x:c r="N53" s="71" t="str"/>
      <x:c r="O53" s="71" t="str"/>
      <x:c r="P53" s="71" t="str"/>
      <x:c r="Q53" s="71" t="str"/>
      <x:c r="R53" s="71" t="str"/>
      <x:c r="S53" s="71" t="str"/>
      <x:c r="T53" s="71" t="str"/>
      <x:c r="U53" s="71" t="str"/>
      <x:c r="V53" s="49" t="str">
        <x:v>Deep red-gold amber with slow-moving flecks suspended inside. It warms when held and smells of old cedar chests, incense, and ripe fruit.</x:v>
      </x:c>
    </x:row>
    <x:row r="54">
      <x:c r="A54" s="48" t="str">
        <x:v>Core</x:v>
      </x:c>
      <x:c r="B54" s="71" t="str">
        <x:v>Sap / Resin</x:v>
      </x:c>
      <x:c r="C54" s="71" t="str">
        <x:v>Very Rare</x:v>
      </x:c>
      <x:c r="D54" s="71" t="str">
        <x:v>Myrrh of the First Grove</x:v>
      </x:c>
      <x:c r="E54" s="71" t="n">
        <x:v>6</x:v>
      </x:c>
      <x:c r="F54" s="71" t="n">
        <x:v>75</x:v>
      </x:c>
      <x:c r="G54" s="71" t="n">
        <x:v>50</x:v>
      </x:c>
      <x:c r="H54" s="71" t="n">
        <x:v>0</x:v>
      </x:c>
      <x:c r="I54" s="71" t="n">
        <x:v>0</x:v>
      </x:c>
      <x:c r="J54" s="71" t="n">
        <x:v>0</x:v>
      </x:c>
      <x:c r="K54" s="71" t="n">
        <x:v>0</x:v>
      </x:c>
      <x:c r="L54" s="71" t="str"/>
      <x:c r="M54" s="71" t="str"/>
      <x:c r="N54" s="71" t="str"/>
      <x:c r="O54" s="71" t="str"/>
      <x:c r="P54" s="71" t="str"/>
      <x:c r="Q54" s="71" t="str"/>
      <x:c r="R54" s="71" t="str"/>
      <x:c r="S54" s="71" t="str"/>
      <x:c r="T54" s="71" t="str"/>
      <x:c r="U54" s="71" t="str"/>
      <x:c r="V54" s="49" t="str">
        <x:v>A sacred brown resin with silver flecks and a slow fragrant smoke when warmed. It smells of myrrh, rain, and living wood.</x:v>
      </x:c>
    </x:row>
    <x:row r="55">
      <x:c r="A55" s="48" t="str">
        <x:v>Core</x:v>
      </x:c>
      <x:c r="B55" s="71" t="str">
        <x:v>Sap / Resin</x:v>
      </x:c>
      <x:c r="C55" s="71" t="str">
        <x:v>Very Rare</x:v>
      </x:c>
      <x:c r="D55" s="71" t="str">
        <x:v>Timebound Myrrh</x:v>
      </x:c>
      <x:c r="E55" s="71" t="n">
        <x:v>6</x:v>
      </x:c>
      <x:c r="F55" s="71" t="n">
        <x:v>0</x:v>
      </x:c>
      <x:c r="G55" s="71" t="n">
        <x:v>25</x:v>
      </x:c>
      <x:c r="H55" s="71" t="n">
        <x:v>0</x:v>
      </x:c>
      <x:c r="I55" s="71" t="n">
        <x:v>0</x:v>
      </x:c>
      <x:c r="J55" s="71" t="n">
        <x:v>0</x:v>
      </x:c>
      <x:c r="K55" s="71" t="n">
        <x:v>1</x:v>
      </x:c>
      <x:c r="L55" s="71" t="str"/>
      <x:c r="M55" s="71" t="str"/>
      <x:c r="N55" s="71" t="str"/>
      <x:c r="O55" s="71" t="str"/>
      <x:c r="P55" s="71" t="str"/>
      <x:c r="Q55" s="71" t="str"/>
      <x:c r="R55" s="71" t="str"/>
      <x:c r="S55" s="71" t="str"/>
      <x:c r="T55" s="71" t="str"/>
      <x:c r="U55" s="71" t="str"/>
      <x:c r="V55" s="49" t="str">
        <x:v>Black-violet resin that drips upward when uncorked. It smells of ancient cedar, bitter wine, and temple smoke, and leaves a slow heartbeat sensation in the palm.</x:v>
      </x:c>
    </x:row>
    <x:row r="56">
      <x:c r="A56" s="48" t="str">
        <x:v>Core</x:v>
      </x:c>
      <x:c r="B56" s="71" t="str">
        <x:v>Moss / Lichen</x:v>
      </x:c>
      <x:c r="C56" s="71" t="str">
        <x:v>Common</x:v>
      </x:c>
      <x:c r="D56" s="71" t="str">
        <x:v>Ashwall Lichen</x:v>
      </x:c>
      <x:c r="E56" s="71" t="n">
        <x:v>0</x:v>
      </x:c>
      <x:c r="F56" s="71" t="n">
        <x:v>0</x:v>
      </x:c>
      <x:c r="G56" s="71" t="n">
        <x:v>0</x:v>
      </x:c>
      <x:c r="H56" s="71" t="n">
        <x:v>25</x:v>
      </x:c>
      <x:c r="I56" s="71" t="n">
        <x:v>0</x:v>
      </x:c>
      <x:c r="J56" s="71" t="n">
        <x:v>0</x:v>
      </x:c>
      <x:c r="K56" s="71" t="n">
        <x:v>0</x:v>
      </x:c>
      <x:c r="L56" s="71" t="str"/>
      <x:c r="M56" s="71" t="str"/>
      <x:c r="N56" s="71" t="str"/>
      <x:c r="O56" s="71" t="str"/>
      <x:c r="P56" s="71" t="str"/>
      <x:c r="Q56" s="71" t="str"/>
      <x:c r="R56" s="71" t="str"/>
      <x:c r="S56" s="71" t="str"/>
      <x:c r="T56" s="71" t="str"/>
      <x:c r="U56" s="71" t="str"/>
      <x:c r="V56" s="49" t="str">
        <x:v>Flat gray lichen with white scalloped edges, usually peeled from old hearthstones. It is papery and dry, smelling of ash, chalk, and faint smoke.</x:v>
      </x:c>
    </x:row>
    <x:row r="57">
      <x:c r="A57" s="48" t="str">
        <x:v>Core</x:v>
      </x:c>
      <x:c r="B57" s="71" t="str">
        <x:v>Moss / Lichen</x:v>
      </x:c>
      <x:c r="C57" s="71" t="str">
        <x:v>Common</x:v>
      </x:c>
      <x:c r="D57" s="71" t="str">
        <x:v>Brookmoss</x:v>
      </x:c>
      <x:c r="E57" s="71" t="n">
        <x:v>0</x:v>
      </x:c>
      <x:c r="F57" s="71" t="n">
        <x:v>25</x:v>
      </x:c>
      <x:c r="G57" s="71" t="n">
        <x:v>0</x:v>
      </x:c>
      <x:c r="H57" s="71" t="n">
        <x:v>0</x:v>
      </x:c>
      <x:c r="I57" s="71" t="n">
        <x:v>0</x:v>
      </x:c>
      <x:c r="J57" s="71" t="n">
        <x:v>0</x:v>
      </x:c>
      <x:c r="K57" s="71" t="n">
        <x:v>0</x:v>
      </x:c>
      <x:c r="L57" s="71" t="str"/>
      <x:c r="M57" s="71" t="str"/>
      <x:c r="N57" s="71" t="str"/>
      <x:c r="O57" s="71" t="str"/>
      <x:c r="P57" s="71" t="str"/>
      <x:c r="Q57" s="71" t="str"/>
      <x:c r="R57" s="71" t="str"/>
      <x:c r="S57" s="71" t="str"/>
      <x:c r="T57" s="71" t="str"/>
      <x:c r="U57" s="71" t="str"/>
      <x:c r="V57" s="49" t="str">
        <x:v>Fine emerald moss that stays slick with cold water. It feels like wet velvet and smells of river stones, fern shade, and clean mud.</x:v>
      </x:c>
    </x:row>
    <x:row r="58">
      <x:c r="A58" s="48" t="str">
        <x:v>Core</x:v>
      </x:c>
      <x:c r="B58" s="71" t="str">
        <x:v>Moss / Lichen</x:v>
      </x:c>
      <x:c r="C58" s="71" t="str">
        <x:v>Common</x:v>
      </x:c>
      <x:c r="D58" s="71" t="str">
        <x:v>Cavern Moss</x:v>
      </x:c>
      <x:c r="E58" s="71" t="n">
        <x:v>0</x:v>
      </x:c>
      <x:c r="F58" s="71" t="n">
        <x:v>0</x:v>
      </x:c>
      <x:c r="G58" s="71" t="n">
        <x:v>25</x:v>
      </x:c>
      <x:c r="H58" s="71" t="n">
        <x:v>0</x:v>
      </x:c>
      <x:c r="I58" s="71" t="n">
        <x:v>0</x:v>
      </x:c>
      <x:c r="J58" s="71" t="n">
        <x:v>0</x:v>
      </x:c>
      <x:c r="K58" s="71" t="n">
        <x:v>0</x:v>
      </x:c>
      <x:c r="L58" s="71" t="str"/>
      <x:c r="M58" s="71" t="str"/>
      <x:c r="N58" s="71" t="str"/>
      <x:c r="O58" s="71" t="str"/>
      <x:c r="P58" s="71" t="str"/>
      <x:c r="Q58" s="71" t="str"/>
      <x:c r="R58" s="71" t="str"/>
      <x:c r="S58" s="71" t="str"/>
      <x:c r="T58" s="71" t="str"/>
      <x:c r="U58" s="71" t="str"/>
      <x:c r="V58" s="49" t="str">
        <x:v>A cool green mat with grit caught in its underside. It smells of cave water, wet stone, and shaded bark.</x:v>
      </x:c>
    </x:row>
    <x:row r="59">
      <x:c r="A59" s="48" t="str">
        <x:v>Core</x:v>
      </x:c>
      <x:c r="B59" s="71" t="str">
        <x:v>Moss / Lichen</x:v>
      </x:c>
      <x:c r="C59" s="71" t="str">
        <x:v>Common</x:v>
      </x:c>
      <x:c r="D59" s="71" t="str">
        <x:v>Lantern Moss</x:v>
      </x:c>
      <x:c r="E59" s="71" t="n">
        <x:v>0</x:v>
      </x:c>
      <x:c r="F59" s="71" t="n">
        <x:v>0</x:v>
      </x:c>
      <x:c r="G59" s="71" t="n">
        <x:v>25</x:v>
      </x:c>
      <x:c r="H59" s="71" t="n">
        <x:v>0</x:v>
      </x:c>
      <x:c r="I59" s="71" t="n">
        <x:v>0</x:v>
      </x:c>
      <x:c r="J59" s="71" t="n">
        <x:v>0</x:v>
      </x:c>
      <x:c r="K59" s="71" t="n">
        <x:v>0</x:v>
      </x:c>
      <x:c r="L59" s="71" t="str"/>
      <x:c r="M59" s="71" t="str"/>
      <x:c r="N59" s="71" t="str"/>
      <x:c r="O59" s="71" t="str"/>
      <x:c r="P59" s="71" t="str"/>
      <x:c r="Q59" s="71" t="str"/>
      <x:c r="R59" s="71" t="str"/>
      <x:c r="S59" s="71" t="str"/>
      <x:c r="T59" s="71" t="str"/>
      <x:c r="U59" s="71" t="str"/>
      <x:c r="V59" s="49" t="str">
        <x:v>Soft yellow-green moss tipped with pinpricks of pale light. It feels like warm velvet and smells of rainwater, melon rind, and cave stone.</x:v>
      </x:c>
    </x:row>
    <x:row r="60">
      <x:c r="A60" s="48" t="str">
        <x:v>Core</x:v>
      </x:c>
      <x:c r="B60" s="71" t="str">
        <x:v>Moss / Lichen</x:v>
      </x:c>
      <x:c r="C60" s="71" t="str">
        <x:v>Common</x:v>
      </x:c>
      <x:c r="D60" s="71" t="str">
        <x:v>Roofscale Lichen</x:v>
      </x:c>
      <x:c r="E60" s="71" t="n">
        <x:v>0</x:v>
      </x:c>
      <x:c r="F60" s="71" t="n">
        <x:v>25</x:v>
      </x:c>
      <x:c r="G60" s="71" t="n">
        <x:v>0</x:v>
      </x:c>
      <x:c r="H60" s="71" t="n">
        <x:v>0</x:v>
      </x:c>
      <x:c r="I60" s="71" t="n">
        <x:v>0</x:v>
      </x:c>
      <x:c r="J60" s="71" t="n">
        <x:v>0</x:v>
      </x:c>
      <x:c r="K60" s="71" t="n">
        <x:v>0</x:v>
      </x:c>
      <x:c r="L60" s="71" t="str"/>
      <x:c r="M60" s="71" t="str"/>
      <x:c r="N60" s="71" t="str"/>
      <x:c r="O60" s="71" t="str"/>
      <x:c r="P60" s="71" t="str"/>
      <x:c r="Q60" s="71" t="str"/>
      <x:c r="R60" s="71" t="str"/>
      <x:c r="S60" s="71" t="str"/>
      <x:c r="T60" s="71" t="str"/>
      <x:c r="U60" s="71" t="str"/>
      <x:c r="V60" s="49" t="str">
        <x:v>Flat gray scales that cling to old shingles and ruin walls. They peel like thin leather and smell of dust, lime, and sun-warmed slate.</x:v>
      </x:c>
    </x:row>
    <x:row r="61">
      <x:c r="A61" s="48" t="str">
        <x:v>Core</x:v>
      </x:c>
      <x:c r="B61" s="71" t="str">
        <x:v>Moss / Lichen</x:v>
      </x:c>
      <x:c r="C61" s="71" t="str">
        <x:v>Uncommon</x:v>
      </x:c>
      <x:c r="D61" s="71" t="str">
        <x:v>Bedmoss</x:v>
      </x:c>
      <x:c r="E61" s="71" t="n">
        <x:v>2</x:v>
      </x:c>
      <x:c r="F61" s="71" t="n">
        <x:v>0</x:v>
      </x:c>
      <x:c r="G61" s="71" t="n">
        <x:v>25</x:v>
      </x:c>
      <x:c r="H61" s="71" t="n">
        <x:v>0</x:v>
      </x:c>
      <x:c r="I61" s="71" t="n">
        <x:v>1</x:v>
      </x:c>
      <x:c r="J61" s="71" t="n">
        <x:v>0</x:v>
      </x:c>
      <x:c r="K61" s="71" t="n">
        <x:v>0</x:v>
      </x:c>
      <x:c r="L61" s="71" t="str"/>
      <x:c r="M61" s="71" t="str"/>
      <x:c r="N61" s="71" t="str"/>
      <x:c r="O61" s="71" t="str"/>
      <x:c r="P61" s="71" t="str"/>
      <x:c r="Q61" s="71" t="str"/>
      <x:c r="R61" s="71" t="str"/>
      <x:c r="S61" s="71" t="str"/>
      <x:c r="T61" s="71" t="str"/>
      <x:c r="U61" s="71" t="str"/>
      <x:c r="V61" s="49" t="str">
        <x:v>A thick cushion of springy blue-green moss that slowly regains its shape when pressed. It smells of cool caves, linen, and fresh mushrooms.</x:v>
      </x:c>
    </x:row>
    <x:row r="62">
      <x:c r="A62" s="48" t="str">
        <x:v>Core</x:v>
      </x:c>
      <x:c r="B62" s="71" t="str">
        <x:v>Moss / Lichen</x:v>
      </x:c>
      <x:c r="C62" s="71" t="str">
        <x:v>Uncommon</x:v>
      </x:c>
      <x:c r="D62" s="71" t="str">
        <x:v>Cliffgrip Lichen</x:v>
      </x:c>
      <x:c r="E62" s="71" t="n">
        <x:v>2</x:v>
      </x:c>
      <x:c r="F62" s="71" t="n">
        <x:v>25</x:v>
      </x:c>
      <x:c r="G62" s="71" t="n">
        <x:v>50</x:v>
      </x:c>
      <x:c r="H62" s="71" t="n">
        <x:v>0</x:v>
      </x:c>
      <x:c r="I62" s="71" t="n">
        <x:v>0</x:v>
      </x:c>
      <x:c r="J62" s="71" t="n">
        <x:v>0</x:v>
      </x:c>
      <x:c r="K62" s="71" t="n">
        <x:v>0</x:v>
      </x:c>
      <x:c r="L62" s="71" t="str"/>
      <x:c r="M62" s="71" t="str"/>
      <x:c r="N62" s="71" t="str"/>
      <x:c r="O62" s="71" t="str"/>
      <x:c r="P62" s="71" t="str"/>
      <x:c r="Q62" s="71" t="str"/>
      <x:c r="R62" s="71" t="str"/>
      <x:c r="S62" s="71" t="str"/>
      <x:c r="T62" s="71" t="str"/>
      <x:c r="U62" s="71" t="str"/>
      <x:c r="V62" s="49" t="str">
        <x:v>A leathery orange lichen that clings hard to stone chips. It smells dry, sharp, and mineral, with a chalky taste.</x:v>
      </x:c>
    </x:row>
    <x:row r="63">
      <x:c r="A63" s="48" t="str">
        <x:v>Core</x:v>
      </x:c>
      <x:c r="B63" s="71" t="str">
        <x:v>Moss / Lichen</x:v>
      </x:c>
      <x:c r="C63" s="71" t="str">
        <x:v>Uncommon</x:v>
      </x:c>
      <x:c r="D63" s="71" t="str">
        <x:v>Frostlace Lichen</x:v>
      </x:c>
      <x:c r="E63" s="71" t="n">
        <x:v>2</x:v>
      </x:c>
      <x:c r="F63" s="71" t="n">
        <x:v>50</x:v>
      </x:c>
      <x:c r="G63" s="71" t="n">
        <x:v>25</x:v>
      </x:c>
      <x:c r="H63" s="71" t="n">
        <x:v>0</x:v>
      </x:c>
      <x:c r="I63" s="71" t="n">
        <x:v>0</x:v>
      </x:c>
      <x:c r="J63" s="71" t="n">
        <x:v>0</x:v>
      </x:c>
      <x:c r="K63" s="71" t="n">
        <x:v>0</x:v>
      </x:c>
      <x:c r="L63" s="71" t="str"/>
      <x:c r="M63" s="71" t="str"/>
      <x:c r="N63" s="71" t="str"/>
      <x:c r="O63" s="71" t="str"/>
      <x:c r="P63" s="71" t="str"/>
      <x:c r="Q63" s="71" t="str"/>
      <x:c r="R63" s="71" t="str"/>
      <x:c r="S63" s="71" t="str"/>
      <x:c r="T63" s="71" t="str"/>
      <x:c r="U63" s="71" t="str"/>
      <x:c r="V63" s="49" t="str">
        <x:v>Fine white branching lichen patterned like frozen lace. It crackles under a thumb and smells of mint, chalk, and snowmelt.</x:v>
      </x:c>
    </x:row>
    <x:row r="64">
      <x:c r="A64" s="48" t="str">
        <x:v>Core</x:v>
      </x:c>
      <x:c r="B64" s="71" t="str">
        <x:v>Moss / Lichen</x:v>
      </x:c>
      <x:c r="C64" s="71" t="str">
        <x:v>Uncommon</x:v>
      </x:c>
      <x:c r="D64" s="71" t="str">
        <x:v>Redveil Moss</x:v>
      </x:c>
      <x:c r="E64" s="71" t="n">
        <x:v>2</x:v>
      </x:c>
      <x:c r="F64" s="71" t="n">
        <x:v>0</x:v>
      </x:c>
      <x:c r="G64" s="71" t="n">
        <x:v>25</x:v>
      </x:c>
      <x:c r="H64" s="71" t="n">
        <x:v>50</x:v>
      </x:c>
      <x:c r="I64" s="71" t="n">
        <x:v>0</x:v>
      </x:c>
      <x:c r="J64" s="71" t="n">
        <x:v>0</x:v>
      </x:c>
      <x:c r="K64" s="71" t="n">
        <x:v>0</x:v>
      </x:c>
      <x:c r="L64" s="71" t="str"/>
      <x:c r="M64" s="71" t="str"/>
      <x:c r="N64" s="71" t="str"/>
      <x:c r="O64" s="71" t="str"/>
      <x:c r="P64" s="71" t="str"/>
      <x:c r="Q64" s="71" t="str"/>
      <x:c r="R64" s="71" t="str"/>
      <x:c r="S64" s="71" t="str"/>
      <x:c r="T64" s="71" t="str"/>
      <x:c r="U64" s="71" t="str"/>
      <x:c r="V64" s="49" t="str">
        <x:v>A wine-red moss that hangs in sheer curtains from shaded stone. It feels silky, smells of berries and damp iron, and stains water pink.</x:v>
      </x:c>
    </x:row>
    <x:row r="65">
      <x:c r="A65" s="48" t="str">
        <x:v>Core</x:v>
      </x:c>
      <x:c r="B65" s="71" t="str">
        <x:v>Moss / Lichen</x:v>
      </x:c>
      <x:c r="C65" s="71" t="str">
        <x:v>Uncommon</x:v>
      </x:c>
      <x:c r="D65" s="71" t="str">
        <x:v>Wardmoss</x:v>
      </x:c>
      <x:c r="E65" s="71" t="n">
        <x:v>2</x:v>
      </x:c>
      <x:c r="F65" s="71" t="n">
        <x:v>0</x:v>
      </x:c>
      <x:c r="G65" s="71" t="n">
        <x:v>75</x:v>
      </x:c>
      <x:c r="H65" s="71" t="n">
        <x:v>0</x:v>
      </x:c>
      <x:c r="I65" s="71" t="n">
        <x:v>0</x:v>
      </x:c>
      <x:c r="J65" s="71" t="n">
        <x:v>0</x:v>
      </x:c>
      <x:c r="K65" s="71" t="n">
        <x:v>0</x:v>
      </x:c>
      <x:c r="L65" s="71" t="str"/>
      <x:c r="M65" s="71" t="str"/>
      <x:c r="N65" s="71" t="str"/>
      <x:c r="O65" s="71" t="str"/>
      <x:c r="P65" s="71" t="str"/>
      <x:c r="Q65" s="71" t="str"/>
      <x:c r="R65" s="71" t="str"/>
      <x:c r="S65" s="71" t="str"/>
      <x:c r="T65" s="71" t="str"/>
      <x:c r="U65" s="71" t="str"/>
      <x:c r="V65" s="49" t="str">
        <x:v>Dense blue-green moss that curls inward when touched. Its scent is clean and cold, like a cellar spring running over slate.</x:v>
      </x:c>
    </x:row>
    <x:row r="66">
      <x:c r="A66" s="48" t="str">
        <x:v>Core</x:v>
      </x:c>
      <x:c r="B66" s="71" t="str">
        <x:v>Moss / Lichen</x:v>
      </x:c>
      <x:c r="C66" s="71" t="str">
        <x:v>Rare</x:v>
      </x:c>
      <x:c r="D66" s="71" t="str">
        <x:v>Deepmoss Colony</x:v>
      </x:c>
      <x:c r="E66" s="71" t="n">
        <x:v>4</x:v>
      </x:c>
      <x:c r="F66" s="71" t="n">
        <x:v>0</x:v>
      </x:c>
      <x:c r="G66" s="71" t="n">
        <x:v>100</x:v>
      </x:c>
      <x:c r="H66" s="71" t="n">
        <x:v>0</x:v>
      </x:c>
      <x:c r="I66" s="71" t="n">
        <x:v>0</x:v>
      </x:c>
      <x:c r="J66" s="71" t="n">
        <x:v>0</x:v>
      </x:c>
      <x:c r="K66" s="71" t="n">
        <x:v>0</x:v>
      </x:c>
      <x:c r="L66" s="71" t="str"/>
      <x:c r="M66" s="71" t="str"/>
      <x:c r="N66" s="71" t="str"/>
      <x:c r="O66" s="71" t="str"/>
      <x:c r="P66" s="71" t="str"/>
      <x:c r="Q66" s="71" t="str"/>
      <x:c r="R66" s="71" t="str"/>
      <x:c r="S66" s="71" t="str"/>
      <x:c r="T66" s="71" t="str"/>
      <x:c r="U66" s="71" t="str"/>
      <x:c r="V66" s="49" t="str">
        <x:v>A thick black-green moss with pale roots and cold dew in its folds. It smells of deep caves and ancient wood rot.</x:v>
      </x:c>
    </x:row>
    <x:row r="67">
      <x:c r="A67" s="48" t="str">
        <x:v>Core</x:v>
      </x:c>
      <x:c r="B67" s="71" t="str">
        <x:v>Moss / Lichen</x:v>
      </x:c>
      <x:c r="C67" s="71" t="str">
        <x:v>Rare</x:v>
      </x:c>
      <x:c r="D67" s="71" t="str">
        <x:v>Diamondvein Lichen</x:v>
      </x:c>
      <x:c r="E67" s="71" t="n">
        <x:v>4</x:v>
      </x:c>
      <x:c r="F67" s="71" t="n">
        <x:v>75</x:v>
      </x:c>
      <x:c r="G67" s="71" t="n">
        <x:v>25</x:v>
      </x:c>
      <x:c r="H67" s="71" t="n">
        <x:v>0</x:v>
      </x:c>
      <x:c r="I67" s="71" t="n">
        <x:v>0</x:v>
      </x:c>
      <x:c r="J67" s="71" t="n">
        <x:v>0</x:v>
      </x:c>
      <x:c r="K67" s="71" t="n">
        <x:v>0</x:v>
      </x:c>
      <x:c r="L67" s="71" t="str"/>
      <x:c r="M67" s="71" t="str"/>
      <x:c r="N67" s="71" t="str"/>
      <x:c r="O67" s="71" t="str"/>
      <x:c r="P67" s="71" t="str"/>
      <x:c r="Q67" s="71" t="str"/>
      <x:c r="R67" s="71" t="str"/>
      <x:c r="S67" s="71" t="str"/>
      <x:c r="T67" s="71" t="str"/>
      <x:c r="U67" s="71" t="str"/>
      <x:c r="V67" s="49" t="str">
        <x:v>Dark lichen crossed by glittering crystal threads. It feels brittle until soaked and smells like rain striking quartz.</x:v>
      </x:c>
    </x:row>
    <x:row r="68">
      <x:c r="A68" s="48" t="str">
        <x:v>Core</x:v>
      </x:c>
      <x:c r="B68" s="71" t="str">
        <x:v>Moss / Lichen</x:v>
      </x:c>
      <x:c r="C68" s="71" t="str">
        <x:v>Rare</x:v>
      </x:c>
      <x:c r="D68" s="71" t="str">
        <x:v>Sporeveil Moss</x:v>
      </x:c>
      <x:c r="E68" s="71" t="n">
        <x:v>4</x:v>
      </x:c>
      <x:c r="F68" s="71" t="n">
        <x:v>0</x:v>
      </x:c>
      <x:c r="G68" s="71" t="n">
        <x:v>50</x:v>
      </x:c>
      <x:c r="H68" s="71" t="n">
        <x:v>50</x:v>
      </x:c>
      <x:c r="I68" s="71" t="n">
        <x:v>0</x:v>
      </x:c>
      <x:c r="J68" s="71" t="n">
        <x:v>0</x:v>
      </x:c>
      <x:c r="K68" s="71" t="n">
        <x:v>0</x:v>
      </x:c>
      <x:c r="L68" s="71" t="str"/>
      <x:c r="M68" s="71" t="str"/>
      <x:c r="N68" s="71" t="str"/>
      <x:c r="O68" s="71" t="str"/>
      <x:c r="P68" s="71" t="str"/>
      <x:c r="Q68" s="71" t="str"/>
      <x:c r="R68" s="71" t="str"/>
      <x:c r="S68" s="71" t="str"/>
      <x:c r="T68" s="71" t="str"/>
      <x:c r="U68" s="71" t="str"/>
      <x:c r="V68" s="49" t="str">
        <x:v>Dark moss threaded with pale sacs that release a hovering mist when disturbed. It smells of wet wool, stone dust, and mild pepper.</x:v>
      </x:c>
    </x:row>
    <x:row r="69">
      <x:c r="A69" s="48" t="str">
        <x:v>Core</x:v>
      </x:c>
      <x:c r="B69" s="71" t="str">
        <x:v>Moss / Lichen</x:v>
      </x:c>
      <x:c r="C69" s="71" t="str">
        <x:v>Rare</x:v>
      </x:c>
      <x:c r="D69" s="71" t="str">
        <x:v>Whispermoss Colony</x:v>
      </x:c>
      <x:c r="E69" s="71" t="n">
        <x:v>4</x:v>
      </x:c>
      <x:c r="F69" s="71" t="n">
        <x:v>50</x:v>
      </x:c>
      <x:c r="G69" s="71" t="n">
        <x:v>0</x:v>
      </x:c>
      <x:c r="H69" s="71" t="n">
        <x:v>0</x:v>
      </x:c>
      <x:c r="I69" s="71" t="n">
        <x:v>1</x:v>
      </x:c>
      <x:c r="J69" s="71" t="n">
        <x:v>0</x:v>
      </x:c>
      <x:c r="K69" s="71" t="n">
        <x:v>0</x:v>
      </x:c>
      <x:c r="L69" s="71" t="str"/>
      <x:c r="M69" s="71" t="str"/>
      <x:c r="N69" s="71" t="str"/>
      <x:c r="O69" s="71" t="str"/>
      <x:c r="P69" s="71" t="str"/>
      <x:c r="Q69" s="71" t="str"/>
      <x:c r="R69" s="71" t="str"/>
      <x:c r="S69" s="71" t="str"/>
      <x:c r="T69" s="71" t="str"/>
      <x:c r="U69" s="71" t="str"/>
      <x:c r="V69" s="49" t="str">
        <x:v>A thick bed of blue moss that rustles without wind. It feels cool and springy, smells of deep wells and cedar, and repeats nearby whispers as faint breath.</x:v>
      </x:c>
    </x:row>
    <x:row r="70">
      <x:c r="A70" s="48" t="str">
        <x:v>Core</x:v>
      </x:c>
      <x:c r="B70" s="71" t="str">
        <x:v>Moss / Lichen</x:v>
      </x:c>
      <x:c r="C70" s="71" t="str">
        <x:v>Very Rare</x:v>
      </x:c>
      <x:c r="D70" s="71" t="str">
        <x:v>Ageglass Lichen</x:v>
      </x:c>
      <x:c r="E70" s="71" t="n">
        <x:v>6</x:v>
      </x:c>
      <x:c r="F70" s="71" t="n">
        <x:v>75</x:v>
      </x:c>
      <x:c r="G70" s="71" t="n">
        <x:v>0</x:v>
      </x:c>
      <x:c r="H70" s="71" t="n">
        <x:v>0</x:v>
      </x:c>
      <x:c r="I70" s="71" t="n">
        <x:v>2</x:v>
      </x:c>
      <x:c r="J70" s="71" t="n">
        <x:v>0</x:v>
      </x:c>
      <x:c r="K70" s="71" t="n">
        <x:v>0</x:v>
      </x:c>
      <x:c r="L70" s="71" t="str"/>
      <x:c r="M70" s="71" t="str"/>
      <x:c r="N70" s="71" t="str"/>
      <x:c r="O70" s="71" t="str"/>
      <x:c r="P70" s="71" t="str"/>
      <x:c r="Q70" s="71" t="str"/>
      <x:c r="R70" s="71" t="str"/>
      <x:c r="S70" s="71" t="str"/>
      <x:c r="T70" s="71" t="str"/>
      <x:c r="U70" s="71" t="str"/>
      <x:c r="V70" s="49" t="str">
        <x:v>A translucent lichen sheet like frosted glass. It crackles softly when bent and smells of old ruins, dust, and spring water.</x:v>
      </x:c>
    </x:row>
    <x:row r="71">
      <x:c r="A71" s="48" t="str">
        <x:v>Core</x:v>
      </x:c>
      <x:c r="B71" s="71" t="str">
        <x:v>Moss / Lichen</x:v>
      </x:c>
      <x:c r="C71" s="71" t="str">
        <x:v>Very Rare</x:v>
      </x:c>
      <x:c r="D71" s="71" t="str">
        <x:v>Crownstar Lichen</x:v>
      </x:c>
      <x:c r="E71" s="71" t="n">
        <x:v>6</x:v>
      </x:c>
      <x:c r="F71" s="71" t="n">
        <x:v>0</x:v>
      </x:c>
      <x:c r="G71" s="71" t="n">
        <x:v>50</x:v>
      </x:c>
      <x:c r="H71" s="71" t="n">
        <x:v>75</x:v>
      </x:c>
      <x:c r="I71" s="71" t="n">
        <x:v>0</x:v>
      </x:c>
      <x:c r="J71" s="71" t="n">
        <x:v>0</x:v>
      </x:c>
      <x:c r="K71" s="71" t="n">
        <x:v>0</x:v>
      </x:c>
      <x:c r="L71" s="71" t="str"/>
      <x:c r="M71" s="71" t="str"/>
      <x:c r="N71" s="71" t="str"/>
      <x:c r="O71" s="71" t="str"/>
      <x:c r="P71" s="71" t="str"/>
      <x:c r="Q71" s="71" t="str"/>
      <x:c r="R71" s="71" t="str"/>
      <x:c r="S71" s="71" t="str"/>
      <x:c r="T71" s="71" t="str"/>
      <x:c r="U71" s="71" t="str"/>
      <x:c r="V71" s="49" t="str">
        <x:v>A many-pointed golden lichen that grows only on exposed peaks. It feels warm in sunlight, smells of clean ozone and alpine flowers, and glitters when breathed upon.</x:v>
      </x:c>
    </x:row>
    <x:row r="72">
      <x:c r="A72" s="48" t="str">
        <x:v>Core</x:v>
      </x:c>
      <x:c r="B72" s="71" t="str">
        <x:v>Moss / Lichen</x:v>
      </x:c>
      <x:c r="C72" s="71" t="str">
        <x:v>Very Rare</x:v>
      </x:c>
      <x:c r="D72" s="71" t="str">
        <x:v>Dreamwatch Lichen</x:v>
      </x:c>
      <x:c r="E72" s="71" t="n">
        <x:v>6</x:v>
      </x:c>
      <x:c r="F72" s="71" t="n">
        <x:v>125</x:v>
      </x:c>
      <x:c r="G72" s="71" t="n">
        <x:v>0</x:v>
      </x:c>
      <x:c r="H72" s="71" t="n">
        <x:v>0</x:v>
      </x:c>
      <x:c r="I72" s="71" t="n">
        <x:v>0</x:v>
      </x:c>
      <x:c r="J72" s="71" t="n">
        <x:v>0</x:v>
      </x:c>
      <x:c r="K72" s="71" t="n">
        <x:v>0</x:v>
      </x:c>
      <x:c r="L72" s="71" t="str"/>
      <x:c r="M72" s="71" t="str">
        <x:v>Frightened</x:v>
      </x:c>
      <x:c r="N72" s="71" t="str">
        <x:v>Wisdom</x:v>
      </x:c>
      <x:c r="O72" s="71" t="str">
        <x:v>1 minute</x:v>
      </x:c>
      <x:c r="P72" s="71" t="str">
        <x:v>end of each turn</x:v>
      </x:c>
      <x:c r="Q72" s="71" t="str">
        <x:v>Poisons, Bombs</x:v>
      </x:c>
      <x:c r="R72" s="71" t="str">
        <x:v>No budget cost</x:v>
      </x:c>
      <x:c r="S72" s="71" t="str"/>
      <x:c r="T72" s="71" t="str"/>
      <x:c r="U72" s="71" t="str"/>
      <x:c r="V72" s="49" t="str">
        <x:v>A soft violet lichen that grows in eye-shaped rings. It feels like damp velvet, smells of moonlit bark and cold air, and leaves a faint tingling behind the eyes.</x:v>
      </x:c>
    </x:row>
    <x:row r="73">
      <x:c r="A73" s="48" t="str">
        <x:v>Core</x:v>
      </x:c>
      <x:c r="B73" s="71" t="str">
        <x:v>Moss / Lichen</x:v>
      </x:c>
      <x:c r="C73" s="71" t="str">
        <x:v>Very Rare</x:v>
      </x:c>
      <x:c r="D73" s="71" t="str">
        <x:v>Starmoss</x:v>
      </x:c>
      <x:c r="E73" s="71" t="n">
        <x:v>6</x:v>
      </x:c>
      <x:c r="F73" s="71" t="n">
        <x:v>0</x:v>
      </x:c>
      <x:c r="G73" s="71" t="n">
        <x:v>125</x:v>
      </x:c>
      <x:c r="H73" s="71" t="n">
        <x:v>0</x:v>
      </x:c>
      <x:c r="I73" s="71" t="n">
        <x:v>0</x:v>
      </x:c>
      <x:c r="J73" s="71" t="n">
        <x:v>0</x:v>
      </x:c>
      <x:c r="K73" s="71" t="n">
        <x:v>0</x:v>
      </x:c>
      <x:c r="L73" s="71" t="str"/>
      <x:c r="M73" s="71" t="str"/>
      <x:c r="N73" s="71" t="str"/>
      <x:c r="O73" s="71" t="str"/>
      <x:c r="P73" s="71" t="str"/>
      <x:c r="Q73" s="71" t="str"/>
      <x:c r="R73" s="71" t="str"/>
      <x:c r="S73" s="71" t="str"/>
      <x:c r="T73" s="71" t="str"/>
      <x:c r="U73" s="71" t="str"/>
      <x:c r="V73" s="49" t="str">
        <x:v>A silver-specked moss that glimmers in dim light. It smells of night air, clean stone, and the first rain after drought.</x:v>
      </x:c>
    </x:row>
    <x:row r="74">
      <x:c r="A74" s="48" t="str">
        <x:v>Core</x:v>
      </x:c>
      <x:c r="B74" s="71" t="str">
        <x:v>Flower</x:v>
      </x:c>
      <x:c r="C74" s="71" t="str">
        <x:v>Common</x:v>
      </x:c>
      <x:c r="D74" s="71" t="str">
        <x:v>Bluecup Flower</x:v>
      </x:c>
      <x:c r="E74" s="71" t="n">
        <x:v>0</x:v>
      </x:c>
      <x:c r="F74" s="71" t="n">
        <x:v>25</x:v>
      </x:c>
      <x:c r="G74" s="71" t="n">
        <x:v>0</x:v>
      </x:c>
      <x:c r="H74" s="71" t="n">
        <x:v>0</x:v>
      </x:c>
      <x:c r="I74" s="71" t="n">
        <x:v>0</x:v>
      </x:c>
      <x:c r="J74" s="71" t="n">
        <x:v>0</x:v>
      </x:c>
      <x:c r="K74" s="71" t="n">
        <x:v>0</x:v>
      </x:c>
      <x:c r="L74" s="71" t="str"/>
      <x:c r="M74" s="71" t="str"/>
      <x:c r="N74" s="71" t="str"/>
      <x:c r="O74" s="71" t="str"/>
      <x:c r="P74" s="71" t="str"/>
      <x:c r="Q74" s="71" t="str"/>
      <x:c r="R74" s="71" t="str"/>
      <x:c r="S74" s="71" t="str"/>
      <x:c r="T74" s="71" t="str"/>
      <x:c r="U74" s="71" t="str"/>
      <x:c r="V74" s="49" t="str">
        <x:v>A small cobalt cup with a white throat and cool waxy petals. It smells of rain, green apple, and fresh-cut grass, leaving blue pollen on the nose.</x:v>
      </x:c>
    </x:row>
    <x:row r="75">
      <x:c r="A75" s="48" t="str">
        <x:v>Core</x:v>
      </x:c>
      <x:c r="B75" s="71" t="str">
        <x:v>Flower</x:v>
      </x:c>
      <x:c r="C75" s="71" t="str">
        <x:v>Common</x:v>
      </x:c>
      <x:c r="D75" s="71" t="str">
        <x:v>Field Bloom</x:v>
      </x:c>
      <x:c r="E75" s="71" t="n">
        <x:v>0</x:v>
      </x:c>
      <x:c r="F75" s="71" t="n">
        <x:v>25</x:v>
      </x:c>
      <x:c r="G75" s="71" t="n">
        <x:v>0</x:v>
      </x:c>
      <x:c r="H75" s="71" t="n">
        <x:v>0</x:v>
      </x:c>
      <x:c r="I75" s="71" t="n">
        <x:v>0</x:v>
      </x:c>
      <x:c r="J75" s="71" t="n">
        <x:v>0</x:v>
      </x:c>
      <x:c r="K75" s="71" t="n">
        <x:v>0</x:v>
      </x:c>
      <x:c r="L75" s="71" t="str"/>
      <x:c r="M75" s="71" t="str"/>
      <x:c r="N75" s="71" t="str"/>
      <x:c r="O75" s="71" t="str"/>
      <x:c r="P75" s="71" t="str"/>
      <x:c r="Q75" s="71" t="str"/>
      <x:c r="R75" s="71" t="str"/>
      <x:c r="S75" s="71" t="str"/>
      <x:c r="T75" s="71" t="str"/>
      <x:c r="U75" s="71" t="str"/>
      <x:c r="V75" s="49" t="str">
        <x:v>A small yellow-white flower with soft pollen and a hay-sweet smell. Its petals bruise easily under the thumb.</x:v>
      </x:c>
    </x:row>
    <x:row r="76">
      <x:c r="A76" s="48" t="str">
        <x:v>Core</x:v>
      </x:c>
      <x:c r="B76" s="71" t="str">
        <x:v>Flower</x:v>
      </x:c>
      <x:c r="C76" s="71" t="str">
        <x:v>Common</x:v>
      </x:c>
      <x:c r="D76" s="71" t="str">
        <x:v>Goldthread Daisy</x:v>
      </x:c>
      <x:c r="E76" s="71" t="n">
        <x:v>0</x:v>
      </x:c>
      <x:c r="F76" s="71" t="n">
        <x:v>0</x:v>
      </x:c>
      <x:c r="G76" s="71" t="n">
        <x:v>25</x:v>
      </x:c>
      <x:c r="H76" s="71" t="n">
        <x:v>0</x:v>
      </x:c>
      <x:c r="I76" s="71" t="n">
        <x:v>0</x:v>
      </x:c>
      <x:c r="J76" s="71" t="n">
        <x:v>0</x:v>
      </x:c>
      <x:c r="K76" s="71" t="n">
        <x:v>0</x:v>
      </x:c>
      <x:c r="L76" s="71" t="str"/>
      <x:c r="M76" s="71" t="str"/>
      <x:c r="N76" s="71" t="str"/>
      <x:c r="O76" s="71" t="str"/>
      <x:c r="P76" s="71" t="str"/>
      <x:c r="Q76" s="71" t="str"/>
      <x:c r="R76" s="71" t="str"/>
      <x:c r="S76" s="71" t="str"/>
      <x:c r="T76" s="71" t="str"/>
      <x:c r="U76" s="71" t="str"/>
      <x:c r="V76" s="49" t="str">
        <x:v>A white daisy crossed by hair-thin golden veins. Its petals feel papery and smell of chamomile, honey, and sun-warmed hay.</x:v>
      </x:c>
    </x:row>
    <x:row r="77">
      <x:c r="A77" s="48" t="str">
        <x:v>Core</x:v>
      </x:c>
      <x:c r="B77" s="71" t="str">
        <x:v>Flower</x:v>
      </x:c>
      <x:c r="C77" s="71" t="str">
        <x:v>Common</x:v>
      </x:c>
      <x:c r="D77" s="71" t="str">
        <x:v>Rainbell Flower</x:v>
      </x:c>
      <x:c r="E77" s="71" t="n">
        <x:v>0</x:v>
      </x:c>
      <x:c r="F77" s="71" t="n">
        <x:v>0</x:v>
      </x:c>
      <x:c r="G77" s="71" t="n">
        <x:v>25</x:v>
      </x:c>
      <x:c r="H77" s="71" t="n">
        <x:v>0</x:v>
      </x:c>
      <x:c r="I77" s="71" t="n">
        <x:v>0</x:v>
      </x:c>
      <x:c r="J77" s="71" t="n">
        <x:v>0</x:v>
      </x:c>
      <x:c r="K77" s="71" t="n">
        <x:v>0</x:v>
      </x:c>
      <x:c r="L77" s="71" t="str"/>
      <x:c r="M77" s="71" t="str"/>
      <x:c r="N77" s="71" t="str"/>
      <x:c r="O77" s="71" t="str"/>
      <x:c r="P77" s="71" t="str"/>
      <x:c r="Q77" s="71" t="str"/>
      <x:c r="R77" s="71" t="str"/>
      <x:c r="S77" s="71" t="str"/>
      <x:c r="T77" s="71" t="str"/>
      <x:c r="U77" s="71" t="str"/>
      <x:c r="V77" s="49" t="str">
        <x:v>A small blue bell flower that holds a single clear droplet beneath each bloom. Its petals feel cool and waxy and smell of rainfall and cucumber peel.</x:v>
      </x:c>
    </x:row>
    <x:row r="78">
      <x:c r="A78" s="48" t="str">
        <x:v>Core</x:v>
      </x:c>
      <x:c r="B78" s="71" t="str">
        <x:v>Flower</x:v>
      </x:c>
      <x:c r="C78" s="71" t="str">
        <x:v>Common</x:v>
      </x:c>
      <x:c r="D78" s="71" t="str">
        <x:v>Whiteclover Star</x:v>
      </x:c>
      <x:c r="E78" s="71" t="n">
        <x:v>0</x:v>
      </x:c>
      <x:c r="F78" s="71" t="n">
        <x:v>0</x:v>
      </x:c>
      <x:c r="G78" s="71" t="n">
        <x:v>0</x:v>
      </x:c>
      <x:c r="H78" s="71" t="n">
        <x:v>25</x:v>
      </x:c>
      <x:c r="I78" s="71" t="n">
        <x:v>0</x:v>
      </x:c>
      <x:c r="J78" s="71" t="n">
        <x:v>0</x:v>
      </x:c>
      <x:c r="K78" s="71" t="n">
        <x:v>0</x:v>
      </x:c>
      <x:c r="L78" s="71" t="str"/>
      <x:c r="M78" s="71" t="str"/>
      <x:c r="N78" s="71" t="str"/>
      <x:c r="O78" s="71" t="str"/>
      <x:c r="P78" s="71" t="str"/>
      <x:c r="Q78" s="71" t="str"/>
      <x:c r="R78" s="71" t="str"/>
      <x:c r="S78" s="71" t="str"/>
      <x:c r="T78" s="71" t="str"/>
      <x:c r="U78" s="71" t="str"/>
      <x:c r="V78" s="49" t="str">
        <x:v>A five-pointed white blossom growing above soft clover leaves. It smells of milk, sweet hay, and honey, with a faint grassy taste.</x:v>
      </x:c>
    </x:row>
    <x:row r="79">
      <x:c r="A79" s="48" t="str">
        <x:v>Core</x:v>
      </x:c>
      <x:c r="B79" s="71" t="str">
        <x:v>Flower</x:v>
      </x:c>
      <x:c r="C79" s="71" t="str">
        <x:v>Uncommon</x:v>
      </x:c>
      <x:c r="D79" s="71" t="str">
        <x:v>Ashen Rose</x:v>
      </x:c>
      <x:c r="E79" s="71" t="n">
        <x:v>2</x:v>
      </x:c>
      <x:c r="F79" s="71" t="n">
        <x:v>25</x:v>
      </x:c>
      <x:c r="G79" s="71" t="n">
        <x:v>0</x:v>
      </x:c>
      <x:c r="H79" s="71" t="n">
        <x:v>50</x:v>
      </x:c>
      <x:c r="I79" s="71" t="n">
        <x:v>0</x:v>
      </x:c>
      <x:c r="J79" s="71" t="n">
        <x:v>0</x:v>
      </x:c>
      <x:c r="K79" s="71" t="n">
        <x:v>0</x:v>
      </x:c>
      <x:c r="L79" s="71" t="str"/>
      <x:c r="M79" s="71" t="str"/>
      <x:c r="N79" s="71" t="str"/>
      <x:c r="O79" s="71" t="str"/>
      <x:c r="P79" s="71" t="str"/>
      <x:c r="Q79" s="71" t="str"/>
      <x:c r="R79" s="71" t="str"/>
      <x:c r="S79" s="71" t="str"/>
      <x:c r="T79" s="71" t="str"/>
      <x:c r="U79" s="71" t="str"/>
      <x:c r="V79" s="49" t="str">
        <x:v>A charcoal-gray rose with ember-red edges. Its petals are warm and velvety, smelling of smoke, clove, and dark cherries.</x:v>
      </x:c>
    </x:row>
    <x:row r="80">
      <x:c r="A80" s="48" t="str">
        <x:v>Core</x:v>
      </x:c>
      <x:c r="B80" s="71" t="str">
        <x:v>Flower</x:v>
      </x:c>
      <x:c r="C80" s="71" t="str">
        <x:v>Uncommon</x:v>
      </x:c>
      <x:c r="D80" s="71" t="str">
        <x:v>Dreamlotus Bloom</x:v>
      </x:c>
      <x:c r="E80" s="71" t="n">
        <x:v>2</x:v>
      </x:c>
      <x:c r="F80" s="71" t="n">
        <x:v>25</x:v>
      </x:c>
      <x:c r="G80" s="71" t="n">
        <x:v>0</x:v>
      </x:c>
      <x:c r="H80" s="71" t="n">
        <x:v>0</x:v>
      </x:c>
      <x:c r="I80" s="71" t="n">
        <x:v>0</x:v>
      </x:c>
      <x:c r="J80" s="71" t="n">
        <x:v>1</x:v>
      </x:c>
      <x:c r="K80" s="71" t="n">
        <x:v>0</x:v>
      </x:c>
      <x:c r="L80" s="71" t="str"/>
      <x:c r="M80" s="71" t="str"/>
      <x:c r="N80" s="71" t="str"/>
      <x:c r="O80" s="71" t="str"/>
      <x:c r="P80" s="71" t="str"/>
      <x:c r="Q80" s="71" t="str"/>
      <x:c r="R80" s="71" t="str"/>
      <x:c r="S80" s="71" t="str"/>
      <x:c r="T80" s="71" t="str"/>
      <x:c r="U80" s="71" t="str"/>
      <x:c r="V80" s="49" t="str">
        <x:v>A violet lotus with pollen that sparkles like sleep-dust. Its scent is sweet, heavy, and just sharp enough to make the eyes water.</x:v>
      </x:c>
    </x:row>
    <x:row r="81">
      <x:c r="A81" s="48" t="str">
        <x:v>Core</x:v>
      </x:c>
      <x:c r="B81" s="71" t="str">
        <x:v>Flower</x:v>
      </x:c>
      <x:c r="C81" s="71" t="str">
        <x:v>Uncommon</x:v>
      </x:c>
      <x:c r="D81" s="71" t="str">
        <x:v>Pollenburst Daisy</x:v>
      </x:c>
      <x:c r="E81" s="71" t="n">
        <x:v>2</x:v>
      </x:c>
      <x:c r="F81" s="71" t="n">
        <x:v>0</x:v>
      </x:c>
      <x:c r="G81" s="71" t="n">
        <x:v>0</x:v>
      </x:c>
      <x:c r="H81" s="71" t="n">
        <x:v>75</x:v>
      </x:c>
      <x:c r="I81" s="71" t="n">
        <x:v>0</x:v>
      </x:c>
      <x:c r="J81" s="71" t="n">
        <x:v>0</x:v>
      </x:c>
      <x:c r="K81" s="71" t="n">
        <x:v>0</x:v>
      </x:c>
      <x:c r="L81" s="71" t="str"/>
      <x:c r="M81" s="71" t="str"/>
      <x:c r="N81" s="71" t="str"/>
      <x:c r="O81" s="71" t="str"/>
      <x:c r="P81" s="71" t="str"/>
      <x:c r="Q81" s="71" t="str"/>
      <x:c r="R81" s="71" t="str"/>
      <x:c r="S81" s="71" t="str"/>
      <x:c r="T81" s="71" t="str"/>
      <x:c r="U81" s="71" t="str"/>
      <x:c r="V81" s="49" t="str">
        <x:v>A bright yellow daisy with an oversized powdery center. A touch releases a golden puff that smells of citrus, dry grass, and pepper.</x:v>
      </x:c>
    </x:row>
    <x:row r="82">
      <x:c r="A82" s="48" t="str">
        <x:v>Core</x:v>
      </x:c>
      <x:c r="B82" s="71" t="str">
        <x:v>Flower</x:v>
      </x:c>
      <x:c r="C82" s="71" t="str">
        <x:v>Uncommon</x:v>
      </x:c>
      <x:c r="D82" s="71" t="str">
        <x:v>Sunmend Marigold</x:v>
      </x:c>
      <x:c r="E82" s="71" t="n">
        <x:v>2</x:v>
      </x:c>
      <x:c r="F82" s="71" t="n">
        <x:v>50</x:v>
      </x:c>
      <x:c r="G82" s="71" t="n">
        <x:v>25</x:v>
      </x:c>
      <x:c r="H82" s="71" t="n">
        <x:v>0</x:v>
      </x:c>
      <x:c r="I82" s="71" t="n">
        <x:v>0</x:v>
      </x:c>
      <x:c r="J82" s="71" t="n">
        <x:v>0</x:v>
      </x:c>
      <x:c r="K82" s="71" t="n">
        <x:v>0</x:v>
      </x:c>
      <x:c r="L82" s="71" t="str"/>
      <x:c r="M82" s="71" t="str"/>
      <x:c r="N82" s="71" t="str"/>
      <x:c r="O82" s="71" t="str"/>
      <x:c r="P82" s="71" t="str"/>
      <x:c r="Q82" s="71" t="str"/>
      <x:c r="R82" s="71" t="str"/>
      <x:c r="S82" s="71" t="str"/>
      <x:c r="T82" s="71" t="str"/>
      <x:c r="U82" s="71" t="str"/>
      <x:c r="V82" s="49" t="str">
        <x:v>A bright orange blossom with warm petals and golden pollen. It smells of honey, cut grass, and clean bandages.</x:v>
      </x:c>
    </x:row>
    <x:row r="83">
      <x:c r="A83" s="48" t="str">
        <x:v>Core</x:v>
      </x:c>
      <x:c r="B83" s="71" t="str">
        <x:v>Flower</x:v>
      </x:c>
      <x:c r="C83" s="71" t="str">
        <x:v>Uncommon</x:v>
      </x:c>
      <x:c r="D83" s="71" t="str">
        <x:v>Whisperbell</x:v>
      </x:c>
      <x:c r="E83" s="71" t="n">
        <x:v>2</x:v>
      </x:c>
      <x:c r="F83" s="71" t="n">
        <x:v>0</x:v>
      </x:c>
      <x:c r="G83" s="71" t="n">
        <x:v>25</x:v>
      </x:c>
      <x:c r="H83" s="71" t="n">
        <x:v>0</x:v>
      </x:c>
      <x:c r="I83" s="71" t="n">
        <x:v>0</x:v>
      </x:c>
      <x:c r="J83" s="71" t="n">
        <x:v>1</x:v>
      </x:c>
      <x:c r="K83" s="71" t="n">
        <x:v>0</x:v>
      </x:c>
      <x:c r="L83" s="71" t="str"/>
      <x:c r="M83" s="71" t="str"/>
      <x:c r="N83" s="71" t="str"/>
      <x:c r="O83" s="71" t="str"/>
      <x:c r="P83" s="71" t="str"/>
      <x:c r="Q83" s="71" t="str"/>
      <x:c r="R83" s="71" t="str"/>
      <x:c r="S83" s="71" t="str"/>
      <x:c r="T83" s="71" t="str"/>
      <x:c r="U83" s="71" t="str"/>
      <x:c r="V83" s="49" t="str">
        <x:v>A pale lilac bell flower whose petals tremble near spoken words. It smells of violets and cool dust and gives a faint chiming note when plucked.</x:v>
      </x:c>
    </x:row>
    <x:row r="84">
      <x:c r="A84" s="48" t="str">
        <x:v>Core</x:v>
      </x:c>
      <x:c r="B84" s="71" t="str">
        <x:v>Flower</x:v>
      </x:c>
      <x:c r="C84" s="71" t="str">
        <x:v>Rare</x:v>
      </x:c>
      <x:c r="D84" s="71" t="str">
        <x:v>Fey Orchid</x:v>
      </x:c>
      <x:c r="E84" s="71" t="n">
        <x:v>4</x:v>
      </x:c>
      <x:c r="F84" s="71" t="n">
        <x:v>50</x:v>
      </x:c>
      <x:c r="G84" s="71" t="n">
        <x:v>0</x:v>
      </x:c>
      <x:c r="H84" s="71" t="n">
        <x:v>0</x:v>
      </x:c>
      <x:c r="I84" s="71" t="n">
        <x:v>0</x:v>
      </x:c>
      <x:c r="J84" s="71" t="n">
        <x:v>1</x:v>
      </x:c>
      <x:c r="K84" s="71" t="n">
        <x:v>0</x:v>
      </x:c>
      <x:c r="L84" s="71" t="str"/>
      <x:c r="M84" s="71" t="str">
        <x:v>Charmed</x:v>
      </x:c>
      <x:c r="N84" s="71" t="str">
        <x:v>Wisdom</x:v>
      </x:c>
      <x:c r="O84" s="71" t="str">
        <x:v>1 minute</x:v>
      </x:c>
      <x:c r="P84" s="71" t="str">
        <x:v>ends when harmed</x:v>
      </x:c>
      <x:c r="Q84" s="71" t="str">
        <x:v>Poisons, Bombs</x:v>
      </x:c>
      <x:c r="R84" s="71" t="str">
        <x:v>No budget cost</x:v>
      </x:c>
      <x:c r="S84" s="71" t="str"/>
      <x:c r="T84" s="71" t="str"/>
      <x:c r="U84" s="71" t="str"/>
      <x:c r="V84" s="49" t="str">
        <x:v>A twisting orchid with blue-pink petals and luminous veins. It smells beautiful at first, then strange, like perfume from a dream.</x:v>
      </x:c>
    </x:row>
    <x:row r="85">
      <x:c r="A85" s="48" t="str">
        <x:v>Core</x:v>
      </x:c>
      <x:c r="B85" s="71" t="str">
        <x:v>Flower</x:v>
      </x:c>
      <x:c r="C85" s="71" t="str">
        <x:v>Rare</x:v>
      </x:c>
      <x:c r="D85" s="71" t="str">
        <x:v>Moonrose</x:v>
      </x:c>
      <x:c r="E85" s="71" t="n">
        <x:v>4</x:v>
      </x:c>
      <x:c r="F85" s="71" t="n">
        <x:v>0</x:v>
      </x:c>
      <x:c r="G85" s="71" t="n">
        <x:v>50</x:v>
      </x:c>
      <x:c r="H85" s="71" t="n">
        <x:v>0</x:v>
      </x:c>
      <x:c r="I85" s="71" t="n">
        <x:v>0</x:v>
      </x:c>
      <x:c r="J85" s="71" t="n">
        <x:v>1</x:v>
      </x:c>
      <x:c r="K85" s="71" t="n">
        <x:v>0</x:v>
      </x:c>
      <x:c r="L85" s="71" t="str"/>
      <x:c r="M85" s="71" t="str"/>
      <x:c r="N85" s="71" t="str"/>
      <x:c r="O85" s="71" t="str"/>
      <x:c r="P85" s="71" t="str"/>
      <x:c r="Q85" s="71" t="str"/>
      <x:c r="R85" s="71" t="str"/>
      <x:c r="S85" s="71" t="str"/>
      <x:c r="T85" s="71" t="str"/>
      <x:c r="U85" s="71" t="str"/>
      <x:c r="V85" s="49" t="str">
        <x:v>A pale lavender rose whose petals darken under direct sunlight. Its scent is cool, floral, and slightly metallic, lingering on the tongue like mint.</x:v>
      </x:c>
    </x:row>
    <x:row r="86">
      <x:c r="A86" s="48" t="str">
        <x:v>Core</x:v>
      </x:c>
      <x:c r="B86" s="71" t="str">
        <x:v>Flower</x:v>
      </x:c>
      <x:c r="C86" s="71" t="str">
        <x:v>Rare</x:v>
      </x:c>
      <x:c r="D86" s="71" t="str">
        <x:v>Starwake Orchid</x:v>
      </x:c>
      <x:c r="E86" s="71" t="n">
        <x:v>4</x:v>
      </x:c>
      <x:c r="F86" s="71" t="n">
        <x:v>50</x:v>
      </x:c>
      <x:c r="G86" s="71" t="n">
        <x:v>50</x:v>
      </x:c>
      <x:c r="H86" s="71" t="n">
        <x:v>0</x:v>
      </x:c>
      <x:c r="I86" s="71" t="n">
        <x:v>0</x:v>
      </x:c>
      <x:c r="J86" s="71" t="n">
        <x:v>0</x:v>
      </x:c>
      <x:c r="K86" s="71" t="n">
        <x:v>0</x:v>
      </x:c>
      <x:c r="L86" s="71" t="str"/>
      <x:c r="M86" s="71" t="str"/>
      <x:c r="N86" s="71" t="str"/>
      <x:c r="O86" s="71" t="str"/>
      <x:c r="P86" s="71" t="str"/>
      <x:c r="Q86" s="71" t="str"/>
      <x:c r="R86" s="71" t="str"/>
      <x:c r="S86" s="71" t="str"/>
      <x:c r="T86" s="71" t="str"/>
      <x:c r="U86" s="71" t="str"/>
      <x:c r="V86" s="49" t="str">
        <x:v>A deep blue orchid speckled like a night sky. Its petals feel cool and slick, smell of jasmine and ozone, and open only beneath starlight.</x:v>
      </x:c>
    </x:row>
    <x:row r="87">
      <x:c r="A87" s="48" t="str">
        <x:v>Core</x:v>
      </x:c>
      <x:c r="B87" s="71" t="str">
        <x:v>Flower</x:v>
      </x:c>
      <x:c r="C87" s="71" t="str">
        <x:v>Rare</x:v>
      </x:c>
      <x:c r="D87" s="71" t="str">
        <x:v>Thunderbell Blossom</x:v>
      </x:c>
      <x:c r="E87" s="71" t="n">
        <x:v>4</x:v>
      </x:c>
      <x:c r="F87" s="71" t="n">
        <x:v>75</x:v>
      </x:c>
      <x:c r="G87" s="71" t="n">
        <x:v>0</x:v>
      </x:c>
      <x:c r="H87" s="71" t="n">
        <x:v>25</x:v>
      </x:c>
      <x:c r="I87" s="71" t="n">
        <x:v>0</x:v>
      </x:c>
      <x:c r="J87" s="71" t="n">
        <x:v>0</x:v>
      </x:c>
      <x:c r="K87" s="71" t="n">
        <x:v>0</x:v>
      </x:c>
      <x:c r="L87" s="71" t="str"/>
      <x:c r="M87" s="71" t="str"/>
      <x:c r="N87" s="71" t="str"/>
      <x:c r="O87" s="71" t="str"/>
      <x:c r="P87" s="71" t="str"/>
      <x:c r="Q87" s="71" t="str"/>
      <x:c r="R87" s="71" t="str"/>
      <x:c r="S87" s="71" t="str"/>
      <x:c r="T87" s="71" t="str"/>
      <x:c r="U87" s="71" t="str"/>
      <x:c r="V87" s="49" t="str">
        <x:v>A bell-shaped purple flower that trembles near loud sounds. It smells of rain, copper, and crushed petals.</x:v>
      </x:c>
    </x:row>
    <x:row r="88">
      <x:c r="A88" s="48" t="str">
        <x:v>Core</x:v>
      </x:c>
      <x:c r="B88" s="71" t="str">
        <x:v>Flower</x:v>
      </x:c>
      <x:c r="C88" s="71" t="str">
        <x:v>Very Rare</x:v>
      </x:c>
      <x:c r="D88" s="71" t="str">
        <x:v>Halo Lily</x:v>
      </x:c>
      <x:c r="E88" s="71" t="n">
        <x:v>6</x:v>
      </x:c>
      <x:c r="F88" s="71" t="n">
        <x:v>125</x:v>
      </x:c>
      <x:c r="G88" s="71" t="n">
        <x:v>0</x:v>
      </x:c>
      <x:c r="H88" s="71" t="n">
        <x:v>0</x:v>
      </x:c>
      <x:c r="I88" s="71" t="n">
        <x:v>0</x:v>
      </x:c>
      <x:c r="J88" s="71" t="n">
        <x:v>0</x:v>
      </x:c>
      <x:c r="K88" s="71" t="n">
        <x:v>0</x:v>
      </x:c>
      <x:c r="L88" s="71" t="str"/>
      <x:c r="M88" s="71" t="str"/>
      <x:c r="N88" s="71" t="str"/>
      <x:c r="O88" s="71" t="str"/>
      <x:c r="P88" s="71" t="str"/>
      <x:c r="Q88" s="71" t="str"/>
      <x:c r="R88" s="71" t="str"/>
      <x:c r="S88" s="71" t="str"/>
      <x:c r="T88" s="71" t="str"/>
      <x:c r="U88" s="71" t="str"/>
      <x:c r="V88" s="49" t="str">
        <x:v>A white lily with a ring of gold light at the throat. It smells of lilies, sun-warmed linen, and faint temple incense.</x:v>
      </x:c>
    </x:row>
    <x:row r="89">
      <x:c r="A89" s="48" t="str">
        <x:v>Core</x:v>
      </x:c>
      <x:c r="B89" s="71" t="str">
        <x:v>Flower</x:v>
      </x:c>
      <x:c r="C89" s="71" t="str">
        <x:v>Very Rare</x:v>
      </x:c>
      <x:c r="D89" s="71" t="str">
        <x:v>Oracle Lotus</x:v>
      </x:c>
      <x:c r="E89" s="71" t="n">
        <x:v>6</x:v>
      </x:c>
      <x:c r="F89" s="71" t="n">
        <x:v>25</x:v>
      </x:c>
      <x:c r="G89" s="71" t="n">
        <x:v>0</x:v>
      </x:c>
      <x:c r="H89" s="71" t="n">
        <x:v>0</x:v>
      </x:c>
      <x:c r="I89" s="71" t="n">
        <x:v>0</x:v>
      </x:c>
      <x:c r="J89" s="71" t="n">
        <x:v>0</x:v>
      </x:c>
      <x:c r="K89" s="71" t="n">
        <x:v>1</x:v>
      </x:c>
      <x:c r="L89" s="71" t="str"/>
      <x:c r="M89" s="71" t="str"/>
      <x:c r="N89" s="71" t="str"/>
      <x:c r="O89" s="71" t="str"/>
      <x:c r="P89" s="71" t="str"/>
      <x:c r="Q89" s="71" t="str"/>
      <x:c r="R89" s="71" t="str"/>
      <x:c r="S89" s="71" t="str"/>
      <x:c r="T89" s="71" t="str"/>
      <x:c r="U89" s="71" t="str"/>
      <x:c r="V89" s="49" t="str">
        <x:v>A luminous white lotus with a shifting violet center. It smells differently to each observer—often incense, rain, or childhood flowers—and its pollen sparkles in the air.</x:v>
      </x:c>
    </x:row>
    <x:row r="90">
      <x:c r="A90" s="48" t="str">
        <x:v>Core</x:v>
      </x:c>
      <x:c r="B90" s="71" t="str">
        <x:v>Flower</x:v>
      </x:c>
      <x:c r="C90" s="71" t="str">
        <x:v>Very Rare</x:v>
      </x:c>
      <x:c r="D90" s="71" t="str">
        <x:v>Queen's Dreamlotus</x:v>
      </x:c>
      <x:c r="E90" s="71" t="n">
        <x:v>6</x:v>
      </x:c>
      <x:c r="F90" s="71" t="n">
        <x:v>25</x:v>
      </x:c>
      <x:c r="G90" s="71" t="n">
        <x:v>0</x:v>
      </x:c>
      <x:c r="H90" s="71" t="n">
        <x:v>0</x:v>
      </x:c>
      <x:c r="I90" s="71" t="n">
        <x:v>0</x:v>
      </x:c>
      <x:c r="J90" s="71" t="n">
        <x:v>3</x:v>
      </x:c>
      <x:c r="K90" s="71" t="n">
        <x:v>0</x:v>
      </x:c>
      <x:c r="L90" s="71" t="str"/>
      <x:c r="M90" s="71" t="str"/>
      <x:c r="N90" s="71" t="str"/>
      <x:c r="O90" s="71" t="str"/>
      <x:c r="P90" s="71" t="str"/>
      <x:c r="Q90" s="71" t="str"/>
      <x:c r="R90" s="71" t="str"/>
      <x:c r="S90" s="71" t="str"/>
      <x:c r="T90" s="71" t="str"/>
      <x:c r="U90" s="71" t="str"/>
      <x:c r="V90" s="49" t="str">
        <x:v>A midnight lotus with silver pollen and petals soft as velvet. Its fragrance is intoxicating, royal, and difficult to forget.</x:v>
      </x:c>
    </x:row>
    <x:row r="91">
      <x:c r="A91" s="48" t="str">
        <x:v>Core</x:v>
      </x:c>
      <x:c r="B91" s="71" t="str">
        <x:v>Flower</x:v>
      </x:c>
      <x:c r="C91" s="71" t="str">
        <x:v>Very Rare</x:v>
      </x:c>
      <x:c r="D91" s="71" t="str">
        <x:v>Starseer Lily</x:v>
      </x:c>
      <x:c r="E91" s="71" t="n">
        <x:v>6</x:v>
      </x:c>
      <x:c r="F91" s="71" t="n">
        <x:v>75</x:v>
      </x:c>
      <x:c r="G91" s="71" t="n">
        <x:v>0</x:v>
      </x:c>
      <x:c r="H91" s="71" t="n">
        <x:v>0</x:v>
      </x:c>
      <x:c r="I91" s="71" t="n">
        <x:v>0</x:v>
      </x:c>
      <x:c r="J91" s="71" t="n">
        <x:v>2</x:v>
      </x:c>
      <x:c r="K91" s="71" t="n">
        <x:v>0</x:v>
      </x:c>
      <x:c r="L91" s="71" t="str"/>
      <x:c r="M91" s="71" t="str"/>
      <x:c r="N91" s="71" t="str"/>
      <x:c r="O91" s="71" t="str"/>
      <x:c r="P91" s="71" t="str"/>
      <x:c r="Q91" s="71" t="str"/>
      <x:c r="R91" s="71" t="str"/>
      <x:c r="S91" s="71" t="str"/>
      <x:c r="T91" s="71" t="str"/>
      <x:c r="U91" s="71" t="str"/>
      <x:c r="V91" s="49" t="str">
        <x:v>A deep indigo lily flecked with tiny silver specks. Its petals feel cool as glass, and its fragrance shifts between lavender, candle smoke, and distant rain.</x:v>
      </x:c>
    </x:row>
    <x:row r="92">
      <x:c r="A92" s="48" t="str">
        <x:v>Core</x:v>
      </x:c>
      <x:c r="B92" s="71" t="str">
        <x:v>Leaf / Vine</x:v>
      </x:c>
      <x:c r="C92" s="71" t="str">
        <x:v>Common</x:v>
      </x:c>
      <x:c r="D92" s="71" t="str">
        <x:v>Bluecurl Leaf</x:v>
      </x:c>
      <x:c r="E92" s="71" t="n">
        <x:v>0</x:v>
      </x:c>
      <x:c r="F92" s="71" t="n">
        <x:v>25</x:v>
      </x:c>
      <x:c r="G92" s="71" t="n">
        <x:v>0</x:v>
      </x:c>
      <x:c r="H92" s="71" t="n">
        <x:v>0</x:v>
      </x:c>
      <x:c r="I92" s="71" t="n">
        <x:v>0</x:v>
      </x:c>
      <x:c r="J92" s="71" t="n">
        <x:v>0</x:v>
      </x:c>
      <x:c r="K92" s="71" t="n">
        <x:v>0</x:v>
      </x:c>
      <x:c r="L92" s="71" t="str"/>
      <x:c r="M92" s="71" t="str"/>
      <x:c r="N92" s="71" t="str"/>
      <x:c r="O92" s="71" t="str"/>
      <x:c r="P92" s="71" t="str"/>
      <x:c r="Q92" s="71" t="str"/>
      <x:c r="R92" s="71" t="str"/>
      <x:c r="S92" s="71" t="str"/>
      <x:c r="T92" s="71" t="str"/>
      <x:c r="U92" s="71" t="str"/>
      <x:c r="V92" s="49" t="str">
        <x:v>A narrow blue-green leaf curled into a loose spiral. It is crisp, tastes of mint and celery, and smells of cold wind through grass.</x:v>
      </x:c>
    </x:row>
    <x:row r="93">
      <x:c r="A93" s="48" t="str">
        <x:v>Core</x:v>
      </x:c>
      <x:c r="B93" s="71" t="str">
        <x:v>Leaf / Vine</x:v>
      </x:c>
      <x:c r="C93" s="71" t="str">
        <x:v>Common</x:v>
      </x:c>
      <x:c r="D93" s="71" t="str">
        <x:v>Curlvine Tendril</x:v>
      </x:c>
      <x:c r="E93" s="71" t="n">
        <x:v>0</x:v>
      </x:c>
      <x:c r="F93" s="71" t="n">
        <x:v>25</x:v>
      </x:c>
      <x:c r="G93" s="71" t="n">
        <x:v>0</x:v>
      </x:c>
      <x:c r="H93" s="71" t="n">
        <x:v>0</x:v>
      </x:c>
      <x:c r="I93" s="71" t="n">
        <x:v>0</x:v>
      </x:c>
      <x:c r="J93" s="71" t="n">
        <x:v>0</x:v>
      </x:c>
      <x:c r="K93" s="71" t="n">
        <x:v>0</x:v>
      </x:c>
      <x:c r="L93" s="71" t="str"/>
      <x:c r="M93" s="71" t="str"/>
      <x:c r="N93" s="71" t="str"/>
      <x:c r="O93" s="71" t="str"/>
      <x:c r="P93" s="71" t="str"/>
      <x:c r="Q93" s="71" t="str"/>
      <x:c r="R93" s="71" t="str"/>
      <x:c r="S93" s="71" t="str"/>
      <x:c r="T93" s="71" t="str"/>
      <x:c r="U93" s="71" t="str"/>
      <x:c r="V93" s="49" t="str">
        <x:v>A green tendril coiled like a watch spring. It grips warm skin gently, smells of cucumber and wet rope, and tastes sharply herbal.</x:v>
      </x:c>
    </x:row>
    <x:row r="94">
      <x:c r="A94" s="48" t="str">
        <x:v>Core</x:v>
      </x:c>
      <x:c r="B94" s="71" t="str">
        <x:v>Leaf / Vine</x:v>
      </x:c>
      <x:c r="C94" s="71" t="str">
        <x:v>Common</x:v>
      </x:c>
      <x:c r="D94" s="71" t="str">
        <x:v>Greenleaf</x:v>
      </x:c>
      <x:c r="E94" s="71" t="n">
        <x:v>0</x:v>
      </x:c>
      <x:c r="F94" s="71" t="n">
        <x:v>0</x:v>
      </x:c>
      <x:c r="G94" s="71" t="n">
        <x:v>25</x:v>
      </x:c>
      <x:c r="H94" s="71" t="n">
        <x:v>0</x:v>
      </x:c>
      <x:c r="I94" s="71" t="n">
        <x:v>0</x:v>
      </x:c>
      <x:c r="J94" s="71" t="n">
        <x:v>0</x:v>
      </x:c>
      <x:c r="K94" s="71" t="n">
        <x:v>0</x:v>
      </x:c>
      <x:c r="L94" s="71" t="str"/>
      <x:c r="M94" s="71" t="str"/>
      <x:c r="N94" s="71" t="str"/>
      <x:c r="O94" s="71" t="str"/>
      <x:c r="P94" s="71" t="str"/>
      <x:c r="Q94" s="71" t="str"/>
      <x:c r="R94" s="71" t="str"/>
      <x:c r="S94" s="71" t="str"/>
      <x:c r="T94" s="71" t="str"/>
      <x:c r="U94" s="71" t="str"/>
      <x:c r="V94" s="49" t="str">
        <x:v>A crisp green leaf with pale veins and a fresh snap. It smells grassy, peppery, and clean.</x:v>
      </x:c>
    </x:row>
    <x:row r="95">
      <x:c r="A95" s="48" t="str">
        <x:v>Core</x:v>
      </x:c>
      <x:c r="B95" s="71" t="str">
        <x:v>Leaf / Vine</x:v>
      </x:c>
      <x:c r="C95" s="71" t="str">
        <x:v>Common</x:v>
      </x:c>
      <x:c r="D95" s="71" t="str">
        <x:v>Silvergrass Blade</x:v>
      </x:c>
      <x:c r="E95" s="71" t="n">
        <x:v>0</x:v>
      </x:c>
      <x:c r="F95" s="71" t="n">
        <x:v>0</x:v>
      </x:c>
      <x:c r="G95" s="71" t="n">
        <x:v>25</x:v>
      </x:c>
      <x:c r="H95" s="71" t="n">
        <x:v>0</x:v>
      </x:c>
      <x:c r="I95" s="71" t="n">
        <x:v>0</x:v>
      </x:c>
      <x:c r="J95" s="71" t="n">
        <x:v>0</x:v>
      </x:c>
      <x:c r="K95" s="71" t="n">
        <x:v>0</x:v>
      </x:c>
      <x:c r="L95" s="71" t="str"/>
      <x:c r="M95" s="71" t="str"/>
      <x:c r="N95" s="71" t="str"/>
      <x:c r="O95" s="71" t="str"/>
      <x:c r="P95" s="71" t="str"/>
      <x:c r="Q95" s="71" t="str"/>
      <x:c r="R95" s="71" t="str"/>
      <x:c r="S95" s="71" t="str"/>
      <x:c r="T95" s="71" t="str"/>
      <x:c r="U95" s="71" t="str"/>
      <x:c r="V95" s="49" t="str">
        <x:v>A long grass blade with a silver underside and razor-fine edge. It feels cool and springy, smells of lemon peel and open fields, and hums in a breeze.</x:v>
      </x:c>
    </x:row>
    <x:row r="96">
      <x:c r="A96" s="48" t="str">
        <x:v>Core</x:v>
      </x:c>
      <x:c r="B96" s="71" t="str">
        <x:v>Leaf / Vine</x:v>
      </x:c>
      <x:c r="C96" s="71" t="str">
        <x:v>Common</x:v>
      </x:c>
      <x:c r="D96" s="71" t="str">
        <x:v>Stonevine Sprig</x:v>
      </x:c>
      <x:c r="E96" s="71" t="n">
        <x:v>0</x:v>
      </x:c>
      <x:c r="F96" s="71" t="n">
        <x:v>0</x:v>
      </x:c>
      <x:c r="G96" s="71" t="n">
        <x:v>0</x:v>
      </x:c>
      <x:c r="H96" s="71" t="n">
        <x:v>25</x:v>
      </x:c>
      <x:c r="I96" s="71" t="n">
        <x:v>0</x:v>
      </x:c>
      <x:c r="J96" s="71" t="n">
        <x:v>0</x:v>
      </x:c>
      <x:c r="K96" s="71" t="n">
        <x:v>0</x:v>
      </x:c>
      <x:c r="L96" s="71" t="str"/>
      <x:c r="M96" s="71" t="str"/>
      <x:c r="N96" s="71" t="str"/>
      <x:c r="O96" s="71" t="str"/>
      <x:c r="P96" s="71" t="str"/>
      <x:c r="Q96" s="71" t="str"/>
      <x:c r="R96" s="71" t="str"/>
      <x:c r="S96" s="71" t="str"/>
      <x:c r="T96" s="71" t="str"/>
      <x:c r="U96" s="71" t="str"/>
      <x:c r="V96" s="49" t="str">
        <x:v>A gray vine segment with rough bark and flexible silver fibers inside. It smells of crushed ivy, limestone, and rain-dark wood.</x:v>
      </x:c>
    </x:row>
    <x:row r="97">
      <x:c r="A97" s="48" t="str">
        <x:v>Core</x:v>
      </x:c>
      <x:c r="B97" s="71" t="str">
        <x:v>Leaf / Vine</x:v>
      </x:c>
      <x:c r="C97" s="71" t="str">
        <x:v>Uncommon</x:v>
      </x:c>
      <x:c r="D97" s="71" t="str">
        <x:v>Breathvine</x:v>
      </x:c>
      <x:c r="E97" s="71" t="n">
        <x:v>2</x:v>
      </x:c>
      <x:c r="F97" s="71" t="n">
        <x:v>25</x:v>
      </x:c>
      <x:c r="G97" s="71" t="n">
        <x:v>50</x:v>
      </x:c>
      <x:c r="H97" s="71" t="n">
        <x:v>0</x:v>
      </x:c>
      <x:c r="I97" s="71" t="n">
        <x:v>0</x:v>
      </x:c>
      <x:c r="J97" s="71" t="n">
        <x:v>0</x:v>
      </x:c>
      <x:c r="K97" s="71" t="n">
        <x:v>0</x:v>
      </x:c>
      <x:c r="L97" s="71" t="str"/>
      <x:c r="M97" s="71" t="str"/>
      <x:c r="N97" s="71" t="str"/>
      <x:c r="O97" s="71" t="str"/>
      <x:c r="P97" s="71" t="str"/>
      <x:c r="Q97" s="71" t="str"/>
      <x:c r="R97" s="71" t="str"/>
      <x:c r="S97" s="71" t="str"/>
      <x:c r="T97" s="71" t="str"/>
      <x:c r="U97" s="71" t="str"/>
      <x:c r="V97" s="49" t="str">
        <x:v>A hollow blue vine that slowly inflates and deflates after cutting. It smells of mint, salt air, and clean water, with a cool vapor inside.</x:v>
      </x:c>
    </x:row>
    <x:row r="98">
      <x:c r="A98" s="48" t="str">
        <x:v>Core</x:v>
      </x:c>
      <x:c r="B98" s="71" t="str">
        <x:v>Leaf / Vine</x:v>
      </x:c>
      <x:c r="C98" s="71" t="str">
        <x:v>Uncommon</x:v>
      </x:c>
      <x:c r="D98" s="71" t="str">
        <x:v>Gripsap Vine</x:v>
      </x:c>
      <x:c r="E98" s="71" t="n">
        <x:v>2</x:v>
      </x:c>
      <x:c r="F98" s="71" t="n">
        <x:v>0</x:v>
      </x:c>
      <x:c r="G98" s="71" t="n">
        <x:v>75</x:v>
      </x:c>
      <x:c r="H98" s="71" t="n">
        <x:v>0</x:v>
      </x:c>
      <x:c r="I98" s="71" t="n">
        <x:v>0</x:v>
      </x:c>
      <x:c r="J98" s="71" t="n">
        <x:v>0</x:v>
      </x:c>
      <x:c r="K98" s="71" t="n">
        <x:v>0</x:v>
      </x:c>
      <x:c r="L98" s="71" t="str"/>
      <x:c r="M98" s="71" t="str"/>
      <x:c r="N98" s="71" t="str"/>
      <x:c r="O98" s="71" t="str"/>
      <x:c r="P98" s="71" t="str"/>
      <x:c r="Q98" s="71" t="str"/>
      <x:c r="R98" s="71" t="str"/>
      <x:c r="S98" s="71" t="str"/>
      <x:c r="T98" s="71" t="str"/>
      <x:c r="U98" s="71" t="str"/>
      <x:c r="V98" s="49" t="str">
        <x:v>A sticky vine cutting with tiny gripping hairs along the stem. It smells of green sap, wet rope, and crushed nettle.</x:v>
      </x:c>
    </x:row>
    <x:row r="99">
      <x:c r="A99" s="48" t="str">
        <x:v>Core</x:v>
      </x:c>
      <x:c r="B99" s="71" t="str">
        <x:v>Leaf / Vine</x:v>
      </x:c>
      <x:c r="C99" s="71" t="str">
        <x:v>Uncommon</x:v>
      </x:c>
      <x:c r="D99" s="71" t="str">
        <x:v>Hawkstep Leaf</x:v>
      </x:c>
      <x:c r="E99" s="71" t="n">
        <x:v>2</x:v>
      </x:c>
      <x:c r="F99" s="71" t="n">
        <x:v>0</x:v>
      </x:c>
      <x:c r="G99" s="71" t="n">
        <x:v>25</x:v>
      </x:c>
      <x:c r="H99" s="71" t="n">
        <x:v>50</x:v>
      </x:c>
      <x:c r="I99" s="71" t="n">
        <x:v>0</x:v>
      </x:c>
      <x:c r="J99" s="71" t="n">
        <x:v>0</x:v>
      </x:c>
      <x:c r="K99" s="71" t="n">
        <x:v>0</x:v>
      </x:c>
      <x:c r="L99" s="71" t="str"/>
      <x:c r="M99" s="71" t="str"/>
      <x:c r="N99" s="71" t="str"/>
      <x:c r="O99" s="71" t="str"/>
      <x:c r="P99" s="71" t="str"/>
      <x:c r="Q99" s="71" t="str"/>
      <x:c r="R99" s="71" t="str"/>
      <x:c r="S99" s="71" t="str"/>
      <x:c r="T99" s="71" t="str"/>
      <x:c r="U99" s="71" t="str"/>
      <x:c r="V99" s="49" t="str">
        <x:v>A narrow bronze-green leaf marked like a bird's talon. It is dry and crisp, smells of sage and hot stone, and tingles against the soles.</x:v>
      </x:c>
    </x:row>
    <x:row r="100">
      <x:c r="A100" s="48" t="str">
        <x:v>Core</x:v>
      </x:c>
      <x:c r="B100" s="71" t="str">
        <x:v>Leaf / Vine</x:v>
      </x:c>
      <x:c r="C100" s="71" t="str">
        <x:v>Uncommon</x:v>
      </x:c>
      <x:c r="D100" s="71" t="str">
        <x:v>Swiftleaf</x:v>
      </x:c>
      <x:c r="E100" s="71" t="n">
        <x:v>2</x:v>
      </x:c>
      <x:c r="F100" s="71" t="n">
        <x:v>75</x:v>
      </x:c>
      <x:c r="G100" s="71" t="n">
        <x:v>0</x:v>
      </x:c>
      <x:c r="H100" s="71" t="n">
        <x:v>0</x:v>
      </x:c>
      <x:c r="I100" s="71" t="n">
        <x:v>0</x:v>
      </x:c>
      <x:c r="J100" s="71" t="n">
        <x:v>0</x:v>
      </x:c>
      <x:c r="K100" s="71" t="n">
        <x:v>0</x:v>
      </x:c>
      <x:c r="L100" s="71" t="str"/>
      <x:c r="M100" s="71" t="str"/>
      <x:c r="N100" s="71" t="str"/>
      <x:c r="O100" s="71" t="str"/>
      <x:c r="P100" s="71" t="str"/>
      <x:c r="Q100" s="71" t="str"/>
      <x:c r="R100" s="71" t="str"/>
      <x:c r="S100" s="71" t="str"/>
      <x:c r="T100" s="71" t="str"/>
      <x:c r="U100" s="71" t="str"/>
      <x:c r="V100" s="49" t="str">
        <x:v>A narrow leaf that curls and uncurls when touched. Its scent is sharp, minty, and wakeful.</x:v>
      </x:c>
    </x:row>
    <x:row r="101">
      <x:c r="A101" s="48" t="str">
        <x:v>Core</x:v>
      </x:c>
      <x:c r="B101" s="71" t="str">
        <x:v>Leaf / Vine</x:v>
      </x:c>
      <x:c r="C101" s="71" t="str">
        <x:v>Uncommon</x:v>
      </x:c>
      <x:c r="D101" s="71" t="str">
        <x:v>Twinfrond</x:v>
      </x:c>
      <x:c r="E101" s="71" t="n">
        <x:v>2</x:v>
      </x:c>
      <x:c r="F101" s="71" t="n">
        <x:v>50</x:v>
      </x:c>
      <x:c r="G101" s="71" t="n">
        <x:v>25</x:v>
      </x:c>
      <x:c r="H101" s="71" t="n">
        <x:v>0</x:v>
      </x:c>
      <x:c r="I101" s="71" t="n">
        <x:v>0</x:v>
      </x:c>
      <x:c r="J101" s="71" t="n">
        <x:v>0</x:v>
      </x:c>
      <x:c r="K101" s="71" t="n">
        <x:v>0</x:v>
      </x:c>
      <x:c r="L101" s="71" t="str"/>
      <x:c r="M101" s="71" t="str"/>
      <x:c r="N101" s="71" t="str"/>
      <x:c r="O101" s="71" t="str"/>
      <x:c r="P101" s="71" t="str"/>
      <x:c r="Q101" s="71" t="str"/>
      <x:c r="R101" s="71" t="str"/>
      <x:c r="S101" s="71" t="str"/>
      <x:c r="T101" s="71" t="str"/>
      <x:c r="U101" s="71" t="str"/>
      <x:c r="V101" s="49" t="str">
        <x:v>Two mirrored fern fronds grow from a single copper stem. Their surfaces feel silky and smell of green tea, damp bark, and faint citrus.</x:v>
      </x:c>
    </x:row>
    <x:row r="102">
      <x:c r="A102" s="48" t="str">
        <x:v>Core</x:v>
      </x:c>
      <x:c r="B102" s="71" t="str">
        <x:v>Leaf / Vine</x:v>
      </x:c>
      <x:c r="C102" s="71" t="str">
        <x:v>Rare</x:v>
      </x:c>
      <x:c r="D102" s="71" t="str">
        <x:v>Moonsilver Fern</x:v>
      </x:c>
      <x:c r="E102" s="71" t="n">
        <x:v>4</x:v>
      </x:c>
      <x:c r="F102" s="71" t="n">
        <x:v>75</x:v>
      </x:c>
      <x:c r="G102" s="71" t="n">
        <x:v>25</x:v>
      </x:c>
      <x:c r="H102" s="71" t="n">
        <x:v>0</x:v>
      </x:c>
      <x:c r="I102" s="71" t="n">
        <x:v>0</x:v>
      </x:c>
      <x:c r="J102" s="71" t="n">
        <x:v>0</x:v>
      </x:c>
      <x:c r="K102" s="71" t="n">
        <x:v>0</x:v>
      </x:c>
      <x:c r="L102" s="71" t="str"/>
      <x:c r="M102" s="71" t="str"/>
      <x:c r="N102" s="71" t="str"/>
      <x:c r="O102" s="71" t="str"/>
      <x:c r="P102" s="71" t="str"/>
      <x:c r="Q102" s="71" t="str"/>
      <x:c r="R102" s="71" t="str"/>
      <x:c r="S102" s="71" t="str"/>
      <x:c r="T102" s="71" t="str"/>
      <x:c r="U102" s="71" t="str"/>
      <x:c r="V102" s="49" t="str">
        <x:v>A silver-edged fern with cool dew collecting on the fronds. It smells of moonlit grass and clean water.</x:v>
      </x:c>
    </x:row>
    <x:row r="103">
      <x:c r="A103" s="48" t="str">
        <x:v>Core</x:v>
      </x:c>
      <x:c r="B103" s="71" t="str">
        <x:v>Leaf / Vine</x:v>
      </x:c>
      <x:c r="C103" s="71" t="str">
        <x:v>Rare</x:v>
      </x:c>
      <x:c r="D103" s="71" t="str">
        <x:v>Skyreach Vine</x:v>
      </x:c>
      <x:c r="E103" s="71" t="n">
        <x:v>4</x:v>
      </x:c>
      <x:c r="F103" s="71" t="n">
        <x:v>0</x:v>
      </x:c>
      <x:c r="G103" s="71" t="n">
        <x:v>100</x:v>
      </x:c>
      <x:c r="H103" s="71" t="n">
        <x:v>0</x:v>
      </x:c>
      <x:c r="I103" s="71" t="n">
        <x:v>0</x:v>
      </x:c>
      <x:c r="J103" s="71" t="n">
        <x:v>0</x:v>
      </x:c>
      <x:c r="K103" s="71" t="n">
        <x:v>0</x:v>
      </x:c>
      <x:c r="L103" s="71" t="str"/>
      <x:c r="M103" s="71" t="str"/>
      <x:c r="N103" s="71" t="str"/>
      <x:c r="O103" s="71" t="str"/>
      <x:c r="P103" s="71" t="str"/>
      <x:c r="Q103" s="71" t="str"/>
      <x:c r="R103" s="71" t="str"/>
      <x:c r="S103" s="71" t="str"/>
      <x:c r="T103" s="71" t="str"/>
      <x:c r="U103" s="71" t="str"/>
      <x:c r="V103" s="49" t="str">
        <x:v>A long pale vine that seems lighter than it should be. It smells of rain-washed leaves and high wind.</x:v>
      </x:c>
    </x:row>
    <x:row r="104">
      <x:c r="A104" s="48" t="str">
        <x:v>Core</x:v>
      </x:c>
      <x:c r="B104" s="71" t="str">
        <x:v>Leaf / Vine</x:v>
      </x:c>
      <x:c r="C104" s="71" t="str">
        <x:v>Rare</x:v>
      </x:c>
      <x:c r="D104" s="71" t="str">
        <x:v>Stormrunner Fern</x:v>
      </x:c>
      <x:c r="E104" s="71" t="n">
        <x:v>4</x:v>
      </x:c>
      <x:c r="F104" s="71" t="n">
        <x:v>50</x:v>
      </x:c>
      <x:c r="G104" s="71" t="n">
        <x:v>0</x:v>
      </x:c>
      <x:c r="H104" s="71" t="n">
        <x:v>50</x:v>
      </x:c>
      <x:c r="I104" s="71" t="n">
        <x:v>0</x:v>
      </x:c>
      <x:c r="J104" s="71" t="n">
        <x:v>0</x:v>
      </x:c>
      <x:c r="K104" s="71" t="n">
        <x:v>0</x:v>
      </x:c>
      <x:c r="L104" s="71" t="str"/>
      <x:c r="M104" s="71" t="str">
        <x:v>Stunned</x:v>
      </x:c>
      <x:c r="N104" s="71" t="str">
        <x:v>Constitution</x:v>
      </x:c>
      <x:c r="O104" s="71" t="str">
        <x:v>until the end of the target's next turn</x:v>
      </x:c>
      <x:c r="P104" s="71" t="str"/>
      <x:c r="Q104" s="71" t="str">
        <x:v>Poisons, Bombs</x:v>
      </x:c>
      <x:c r="R104" s="71" t="str">
        <x:v>No budget cost</x:v>
      </x:c>
      <x:c r="S104" s="71" t="str"/>
      <x:c r="T104" s="71" t="str"/>
      <x:c r="U104" s="71" t="str"/>
      <x:c r="V104" s="49" t="str">
        <x:v>A copper fern whose fronds snap toward distant thunder. It feels electrically warm, smells of rain and crushed pepper, and raises the hair on the arm.</x:v>
      </x:c>
    </x:row>
    <x:row r="105">
      <x:c r="A105" s="48" t="str">
        <x:v>Core</x:v>
      </x:c>
      <x:c r="B105" s="71" t="str">
        <x:v>Leaf / Vine</x:v>
      </x:c>
      <x:c r="C105" s="71" t="str">
        <x:v>Rare</x:v>
      </x:c>
      <x:c r="D105" s="71" t="str">
        <x:v>Windlace Vine</x:v>
      </x:c>
      <x:c r="E105" s="71" t="n">
        <x:v>4</x:v>
      </x:c>
      <x:c r="F105" s="71" t="n">
        <x:v>0</x:v>
      </x:c>
      <x:c r="G105" s="71" t="n">
        <x:v>50</x:v>
      </x:c>
      <x:c r="H105" s="71" t="n">
        <x:v>50</x:v>
      </x:c>
      <x:c r="I105" s="71" t="n">
        <x:v>0</x:v>
      </x:c>
      <x:c r="J105" s="71" t="n">
        <x:v>0</x:v>
      </x:c>
      <x:c r="K105" s="71" t="n">
        <x:v>0</x:v>
      </x:c>
      <x:c r="L105" s="71" t="str"/>
      <x:c r="M105" s="71" t="str"/>
      <x:c r="N105" s="71" t="str"/>
      <x:c r="O105" s="71" t="str"/>
      <x:c r="P105" s="71" t="str"/>
      <x:c r="Q105" s="71" t="str"/>
      <x:c r="R105" s="71" t="str"/>
      <x:c r="S105" s="71" t="str"/>
      <x:c r="T105" s="71" t="str"/>
      <x:c r="U105" s="71" t="str"/>
      <x:c r="V105" s="49" t="str">
        <x:v>A nearly weightless vine with perforated leaves that whistle softly in moving air. It smells of meadow grass, ozone, and clean linen.</x:v>
      </x:c>
    </x:row>
    <x:row r="106">
      <x:c r="A106" s="48" t="str">
        <x:v>Core</x:v>
      </x:c>
      <x:c r="B106" s="71" t="str">
        <x:v>Leaf / Vine</x:v>
      </x:c>
      <x:c r="C106" s="71" t="str">
        <x:v>Very Rare</x:v>
      </x:c>
      <x:c r="D106" s="71" t="str">
        <x:v>Horizon Vine</x:v>
      </x:c>
      <x:c r="E106" s="71" t="n">
        <x:v>6</x:v>
      </x:c>
      <x:c r="F106" s="71" t="n">
        <x:v>75</x:v>
      </x:c>
      <x:c r="G106" s="71" t="n">
        <x:v>0</x:v>
      </x:c>
      <x:c r="H106" s="71" t="n">
        <x:v>50</x:v>
      </x:c>
      <x:c r="I106" s="71" t="n">
        <x:v>0</x:v>
      </x:c>
      <x:c r="J106" s="71" t="n">
        <x:v>0</x:v>
      </x:c>
      <x:c r="K106" s="71" t="n">
        <x:v>0</x:v>
      </x:c>
      <x:c r="L106" s="71" t="str"/>
      <x:c r="M106" s="71" t="str"/>
      <x:c r="N106" s="71" t="str"/>
      <x:c r="O106" s="71" t="str"/>
      <x:c r="P106" s="71" t="str"/>
      <x:c r="Q106" s="71" t="str"/>
      <x:c r="R106" s="71" t="str"/>
      <x:c r="S106" s="71" t="str"/>
      <x:c r="T106" s="71" t="str"/>
      <x:c r="U106" s="71" t="str"/>
      <x:c r="V106" s="49" t="str">
        <x:v>A sky-blue vine that always stretches toward the farthest visible point. It feels weightless, smells of high wind and citrus, and uncoils even against gravity.</x:v>
      </x:c>
    </x:row>
    <x:row r="107">
      <x:c r="A107" s="48" t="str">
        <x:v>Core</x:v>
      </x:c>
      <x:c r="B107" s="71" t="str">
        <x:v>Leaf / Vine</x:v>
      </x:c>
      <x:c r="C107" s="71" t="str">
        <x:v>Very Rare</x:v>
      </x:c>
      <x:c r="D107" s="71" t="str">
        <x:v>Silverwake Fern</x:v>
      </x:c>
      <x:c r="E107" s="71" t="n">
        <x:v>6</x:v>
      </x:c>
      <x:c r="F107" s="71" t="n">
        <x:v>125</x:v>
      </x:c>
      <x:c r="G107" s="71" t="n">
        <x:v>0</x:v>
      </x:c>
      <x:c r="H107" s="71" t="n">
        <x:v>0</x:v>
      </x:c>
      <x:c r="I107" s="71" t="n">
        <x:v>0</x:v>
      </x:c>
      <x:c r="J107" s="71" t="n">
        <x:v>0</x:v>
      </x:c>
      <x:c r="K107" s="71" t="n">
        <x:v>0</x:v>
      </x:c>
      <x:c r="L107" s="71" t="str"/>
      <x:c r="M107" s="71" t="str"/>
      <x:c r="N107" s="71" t="str"/>
      <x:c r="O107" s="71" t="str"/>
      <x:c r="P107" s="71" t="str"/>
      <x:c r="Q107" s="71" t="str"/>
      <x:c r="R107" s="71" t="str"/>
      <x:c r="S107" s="71" t="str"/>
      <x:c r="T107" s="71" t="str"/>
      <x:c r="U107" s="71" t="str"/>
      <x:c r="V107" s="49" t="str">
        <x:v>A narrow silver-green fern that trembles without wind. The leaves feel slick and springy, and the crushed fronds smell of mint, rainwater, and bright metal.</x:v>
      </x:c>
    </x:row>
    <x:row r="108">
      <x:c r="A108" s="48" t="str">
        <x:v>Core</x:v>
      </x:c>
      <x:c r="B108" s="71" t="str">
        <x:v>Leaf / Vine</x:v>
      </x:c>
      <x:c r="C108" s="71" t="str">
        <x:v>Very Rare</x:v>
      </x:c>
      <x:c r="D108" s="71" t="str">
        <x:v>Thunderstep Fern</x:v>
      </x:c>
      <x:c r="E108" s="71" t="n">
        <x:v>6</x:v>
      </x:c>
      <x:c r="F108" s="71" t="n">
        <x:v>0</x:v>
      </x:c>
      <x:c r="G108" s="71" t="n">
        <x:v>125</x:v>
      </x:c>
      <x:c r="H108" s="71" t="n">
        <x:v>0</x:v>
      </x:c>
      <x:c r="I108" s="71" t="n">
        <x:v>0</x:v>
      </x:c>
      <x:c r="J108" s="71" t="n">
        <x:v>0</x:v>
      </x:c>
      <x:c r="K108" s="71" t="n">
        <x:v>0</x:v>
      </x:c>
      <x:c r="L108" s="71" t="str"/>
      <x:c r="M108" s="71" t="str"/>
      <x:c r="N108" s="71" t="str"/>
      <x:c r="O108" s="71" t="str"/>
      <x:c r="P108" s="71" t="str"/>
      <x:c r="Q108" s="71" t="str"/>
      <x:c r="R108" s="71" t="str"/>
      <x:c r="S108" s="71" t="str"/>
      <x:c r="T108" s="71" t="str"/>
      <x:c r="U108" s="71" t="str"/>
      <x:c r="V108" s="49" t="str">
        <x:v>A dark fern with blue veins that prickle against skin. When crushed, it smells of storm air and sharp green spice.</x:v>
      </x:c>
    </x:row>
    <x:row r="109">
      <x:c r="A109" s="48" t="str">
        <x:v>Core</x:v>
      </x:c>
      <x:c r="B109" s="71" t="str">
        <x:v>Leaf / Vine</x:v>
      </x:c>
      <x:c r="C109" s="71" t="str">
        <x:v>Very Rare</x:v>
      </x:c>
      <x:c r="D109" s="71" t="str">
        <x:v>Worldvine Tendril</x:v>
      </x:c>
      <x:c r="E109" s="71" t="n">
        <x:v>6</x:v>
      </x:c>
      <x:c r="F109" s="71" t="n">
        <x:v>0</x:v>
      </x:c>
      <x:c r="G109" s="71" t="n">
        <x:v>25</x:v>
      </x:c>
      <x:c r="H109" s="71" t="n">
        <x:v>0</x:v>
      </x:c>
      <x:c r="I109" s="71" t="n">
        <x:v>0</x:v>
      </x:c>
      <x:c r="J109" s="71" t="n">
        <x:v>0</x:v>
      </x:c>
      <x:c r="K109" s="71" t="n">
        <x:v>1</x:v>
      </x:c>
      <x:c r="L109" s="71" t="str"/>
      <x:c r="M109" s="71" t="str"/>
      <x:c r="N109" s="71" t="str"/>
      <x:c r="O109" s="71" t="str"/>
      <x:c r="P109" s="71" t="str"/>
      <x:c r="Q109" s="71" t="str"/>
      <x:c r="R109" s="71" t="str"/>
      <x:c r="S109" s="71" t="str"/>
      <x:c r="T109" s="71" t="str"/>
      <x:c r="U109" s="71" t="str"/>
      <x:c r="V109" s="49" t="str">
        <x:v>A living green tendril with gold fibers under the skin. It curls toward warmth and smells of deep jungle rain.</x:v>
      </x:c>
    </x:row>
    <x:row r="110">
      <x:c r="A110" s="48" t="str">
        <x:v>Core</x:v>
      </x:c>
      <x:c r="B110" s="71" t="str">
        <x:v>Thorn / Bark / Wood</x:v>
      </x:c>
      <x:c r="C110" s="71" t="str">
        <x:v>Common</x:v>
      </x:c>
      <x:c r="D110" s="71" t="str">
        <x:v>Ashbark Flake</x:v>
      </x:c>
      <x:c r="E110" s="71" t="n">
        <x:v>0</x:v>
      </x:c>
      <x:c r="F110" s="71" t="n">
        <x:v>0</x:v>
      </x:c>
      <x:c r="G110" s="71" t="n">
        <x:v>25</x:v>
      </x:c>
      <x:c r="H110" s="71" t="n">
        <x:v>0</x:v>
      </x:c>
      <x:c r="I110" s="71" t="n">
        <x:v>0</x:v>
      </x:c>
      <x:c r="J110" s="71" t="n">
        <x:v>0</x:v>
      </x:c>
      <x:c r="K110" s="71" t="n">
        <x:v>0</x:v>
      </x:c>
      <x:c r="L110" s="71" t="str"/>
      <x:c r="M110" s="71" t="str"/>
      <x:c r="N110" s="71" t="str"/>
      <x:c r="O110" s="71" t="str"/>
      <x:c r="P110" s="71" t="str"/>
      <x:c r="Q110" s="71" t="str"/>
      <x:c r="R110" s="71" t="str"/>
      <x:c r="S110" s="71" t="str"/>
      <x:c r="T110" s="71" t="str"/>
      <x:c r="U110" s="71" t="str"/>
      <x:c r="V110" s="49" t="str">
        <x:v>A pale flake of bark with dark soot trapped in its grain. It is dry and brittle, smelling of cold fireplaces, oak, and mineral dust.</x:v>
      </x:c>
    </x:row>
    <x:row r="111">
      <x:c r="A111" s="48" t="str">
        <x:v>Core</x:v>
      </x:c>
      <x:c r="B111" s="71" t="str">
        <x:v>Thorn / Bark / Wood</x:v>
      </x:c>
      <x:c r="C111" s="71" t="str">
        <x:v>Common</x:v>
      </x:c>
      <x:c r="D111" s="71" t="str">
        <x:v>Briarwood Chip</x:v>
      </x:c>
      <x:c r="E111" s="71" t="n">
        <x:v>0</x:v>
      </x:c>
      <x:c r="F111" s="71" t="n">
        <x:v>0</x:v>
      </x:c>
      <x:c r="G111" s="71" t="n">
        <x:v>25</x:v>
      </x:c>
      <x:c r="H111" s="71" t="n">
        <x:v>0</x:v>
      </x:c>
      <x:c r="I111" s="71" t="n">
        <x:v>0</x:v>
      </x:c>
      <x:c r="J111" s="71" t="n">
        <x:v>0</x:v>
      </x:c>
      <x:c r="K111" s="71" t="n">
        <x:v>0</x:v>
      </x:c>
      <x:c r="L111" s="71" t="str"/>
      <x:c r="M111" s="71" t="str"/>
      <x:c r="N111" s="71" t="str"/>
      <x:c r="O111" s="71" t="str"/>
      <x:c r="P111" s="71" t="str"/>
      <x:c r="Q111" s="71" t="str"/>
      <x:c r="R111" s="71" t="str"/>
      <x:c r="S111" s="71" t="str"/>
      <x:c r="T111" s="71" t="str"/>
      <x:c r="U111" s="71" t="str"/>
      <x:c r="V111" s="49" t="str">
        <x:v>A reddish chip cut from dense briarwood, crossed by tiny black thorns. It is hard and resinous and smells of rose stems and smoke.</x:v>
      </x:c>
    </x:row>
    <x:row r="112">
      <x:c r="A112" s="48" t="str">
        <x:v>Core</x:v>
      </x:c>
      <x:c r="B112" s="71" t="str">
        <x:v>Thorn / Bark / Wood</x:v>
      </x:c>
      <x:c r="C112" s="71" t="str">
        <x:v>Common</x:v>
      </x:c>
      <x:c r="D112" s="71" t="str">
        <x:v>Crowthorn</x:v>
      </x:c>
      <x:c r="E112" s="71" t="n">
        <x:v>0</x:v>
      </x:c>
      <x:c r="F112" s="71" t="n">
        <x:v>25</x:v>
      </x:c>
      <x:c r="G112" s="71" t="n">
        <x:v>0</x:v>
      </x:c>
      <x:c r="H112" s="71" t="n">
        <x:v>0</x:v>
      </x:c>
      <x:c r="I112" s="71" t="n">
        <x:v>0</x:v>
      </x:c>
      <x:c r="J112" s="71" t="n">
        <x:v>0</x:v>
      </x:c>
      <x:c r="K112" s="71" t="n">
        <x:v>0</x:v>
      </x:c>
      <x:c r="L112" s="71" t="str"/>
      <x:c r="M112" s="71" t="str"/>
      <x:c r="N112" s="71" t="str"/>
      <x:c r="O112" s="71" t="str"/>
      <x:c r="P112" s="71" t="str"/>
      <x:c r="Q112" s="71" t="str"/>
      <x:c r="R112" s="71" t="str"/>
      <x:c r="S112" s="71" t="str"/>
      <x:c r="T112" s="71" t="str"/>
      <x:c r="U112" s="71" t="str"/>
      <x:c r="V112" s="49" t="str">
        <x:v>A glossy black thorn curved like a beak. It feels hard as iron, smells faintly of bitter almonds and rain, and leaves a pinprick numbness.</x:v>
      </x:c>
    </x:row>
    <x:row r="113">
      <x:c r="A113" s="48" t="str">
        <x:v>Core</x:v>
      </x:c>
      <x:c r="B113" s="71" t="str">
        <x:v>Thorn / Bark / Wood</x:v>
      </x:c>
      <x:c r="C113" s="71" t="str">
        <x:v>Common</x:v>
      </x:c>
      <x:c r="D113" s="71" t="str">
        <x:v>Oak Bark</x:v>
      </x:c>
      <x:c r="E113" s="71" t="n">
        <x:v>0</x:v>
      </x:c>
      <x:c r="F113" s="71" t="n">
        <x:v>25</x:v>
      </x:c>
      <x:c r="G113" s="71" t="n">
        <x:v>0</x:v>
      </x:c>
      <x:c r="H113" s="71" t="n">
        <x:v>0</x:v>
      </x:c>
      <x:c r="I113" s="71" t="n">
        <x:v>0</x:v>
      </x:c>
      <x:c r="J113" s="71" t="n">
        <x:v>0</x:v>
      </x:c>
      <x:c r="K113" s="71" t="n">
        <x:v>0</x:v>
      </x:c>
      <x:c r="L113" s="71" t="str"/>
      <x:c r="M113" s="71" t="str"/>
      <x:c r="N113" s="71" t="str"/>
      <x:c r="O113" s="71" t="str"/>
      <x:c r="P113" s="71" t="str"/>
      <x:c r="Q113" s="71" t="str"/>
      <x:c r="R113" s="71" t="str"/>
      <x:c r="S113" s="71" t="str"/>
      <x:c r="T113" s="71" t="str"/>
      <x:c r="U113" s="71" t="str"/>
      <x:c r="V113" s="49" t="str">
        <x:v>A rough strip of ordinary oak bark with dry tannic dust. It smells woody, bitter, and familiar.</x:v>
      </x:c>
    </x:row>
    <x:row r="114">
      <x:c r="A114" s="48" t="str">
        <x:v>Core</x:v>
      </x:c>
      <x:c r="B114" s="71" t="str">
        <x:v>Thorn / Bark / Wood</x:v>
      </x:c>
      <x:c r="C114" s="71" t="str">
        <x:v>Common</x:v>
      </x:c>
      <x:c r="D114" s="71" t="str">
        <x:v>Pale Thorn</x:v>
      </x:c>
      <x:c r="E114" s="71" t="n">
        <x:v>0</x:v>
      </x:c>
      <x:c r="F114" s="71" t="n">
        <x:v>25</x:v>
      </x:c>
      <x:c r="G114" s="71" t="n">
        <x:v>0</x:v>
      </x:c>
      <x:c r="H114" s="71" t="n">
        <x:v>0</x:v>
      </x:c>
      <x:c r="I114" s="71" t="n">
        <x:v>0</x:v>
      </x:c>
      <x:c r="J114" s="71" t="n">
        <x:v>0</x:v>
      </x:c>
      <x:c r="K114" s="71" t="n">
        <x:v>0</x:v>
      </x:c>
      <x:c r="L114" s="71" t="str"/>
      <x:c r="M114" s="71" t="str"/>
      <x:c r="N114" s="71" t="str"/>
      <x:c r="O114" s="71" t="str"/>
      <x:c r="P114" s="71" t="str"/>
      <x:c r="Q114" s="71" t="str"/>
      <x:c r="R114" s="71" t="str"/>
      <x:c r="S114" s="71" t="str"/>
      <x:c r="T114" s="71" t="str"/>
      <x:c r="U114" s="71" t="str"/>
      <x:c r="V114" s="49" t="str">
        <x:v>A long ivory thorn with a faintly translucent tip. It is cool, smooth, and smells of dry wood, bone dust, and bitter sap.</x:v>
      </x:c>
    </x:row>
    <x:row r="115">
      <x:c r="A115" s="48" t="str">
        <x:v>Core</x:v>
      </x:c>
      <x:c r="B115" s="71" t="str">
        <x:v>Thorn / Bark / Wood</x:v>
      </x:c>
      <x:c r="C115" s="71" t="str">
        <x:v>Uncommon</x:v>
      </x:c>
      <x:c r="D115" s="71" t="str">
        <x:v>Briar Thorn</x:v>
      </x:c>
      <x:c r="E115" s="71" t="n">
        <x:v>2</x:v>
      </x:c>
      <x:c r="F115" s="71" t="n">
        <x:v>0</x:v>
      </x:c>
      <x:c r="G115" s="71" t="n">
        <x:v>75</x:v>
      </x:c>
      <x:c r="H115" s="71" t="n">
        <x:v>0</x:v>
      </x:c>
      <x:c r="I115" s="71" t="n">
        <x:v>0</x:v>
      </x:c>
      <x:c r="J115" s="71" t="n">
        <x:v>0</x:v>
      </x:c>
      <x:c r="K115" s="71" t="n">
        <x:v>0</x:v>
      </x:c>
      <x:c r="L115" s="71" t="str"/>
      <x:c r="M115" s="71" t="str"/>
      <x:c r="N115" s="71" t="str"/>
      <x:c r="O115" s="71" t="str"/>
      <x:c r="P115" s="71" t="str"/>
      <x:c r="Q115" s="71" t="str"/>
      <x:c r="R115" s="71" t="str"/>
      <x:c r="S115" s="71" t="str"/>
      <x:c r="T115" s="71" t="str"/>
      <x:c r="U115" s="71" t="str"/>
      <x:c r="V115" s="49" t="str">
        <x:v>A bundle of hooked thorns with reddish tips. It catches on gloves and smells dry, green, and faintly bloody.</x:v>
      </x:c>
    </x:row>
    <x:row r="116">
      <x:c r="A116" s="48" t="str">
        <x:v>Core</x:v>
      </x:c>
      <x:c r="B116" s="71" t="str">
        <x:v>Thorn / Bark / Wood</x:v>
      </x:c>
      <x:c r="C116" s="71" t="str">
        <x:v>Uncommon</x:v>
      </x:c>
      <x:c r="D116" s="71" t="str">
        <x:v>Emberwood Curl</x:v>
      </x:c>
      <x:c r="E116" s="71" t="n">
        <x:v>2</x:v>
      </x:c>
      <x:c r="F116" s="71" t="n">
        <x:v>25</x:v>
      </x:c>
      <x:c r="G116" s="71" t="n">
        <x:v>50</x:v>
      </x:c>
      <x:c r="H116" s="71" t="n">
        <x:v>0</x:v>
      </x:c>
      <x:c r="I116" s="71" t="n">
        <x:v>0</x:v>
      </x:c>
      <x:c r="J116" s="71" t="n">
        <x:v>0</x:v>
      </x:c>
      <x:c r="K116" s="71" t="n">
        <x:v>0</x:v>
      </x:c>
      <x:c r="L116" s="71" t="str"/>
      <x:c r="M116" s="71" t="str"/>
      <x:c r="N116" s="71" t="str"/>
      <x:c r="O116" s="71" t="str"/>
      <x:c r="P116" s="71" t="str"/>
      <x:c r="Q116" s="71" t="str"/>
      <x:c r="R116" s="71" t="str"/>
      <x:c r="S116" s="71" t="str"/>
      <x:c r="T116" s="71" t="str"/>
      <x:c r="U116" s="71" t="str"/>
      <x:c r="V116" s="49" t="str">
        <x:v>A thin curl of red wood that remains warm after sunset. It smells of cinnamon bark, smoke, and orange peel, and flexes without cracking.</x:v>
      </x:c>
    </x:row>
    <x:row r="117">
      <x:c r="A117" s="48" t="str">
        <x:v>Core</x:v>
      </x:c>
      <x:c r="B117" s="71" t="str">
        <x:v>Thorn / Bark / Wood</x:v>
      </x:c>
      <x:c r="C117" s="71" t="str">
        <x:v>Uncommon</x:v>
      </x:c>
      <x:c r="D117" s="71" t="str">
        <x:v>Ironbark Strip</x:v>
      </x:c>
      <x:c r="E117" s="71" t="n">
        <x:v>2</x:v>
      </x:c>
      <x:c r="F117" s="71" t="n">
        <x:v>75</x:v>
      </x:c>
      <x:c r="G117" s="71" t="n">
        <x:v>0</x:v>
      </x:c>
      <x:c r="H117" s="71" t="n">
        <x:v>0</x:v>
      </x:c>
      <x:c r="I117" s="71" t="n">
        <x:v>0</x:v>
      </x:c>
      <x:c r="J117" s="71" t="n">
        <x:v>0</x:v>
      </x:c>
      <x:c r="K117" s="71" t="n">
        <x:v>0</x:v>
      </x:c>
      <x:c r="L117" s="71" t="str"/>
      <x:c r="M117" s="71" t="str"/>
      <x:c r="N117" s="71" t="str"/>
      <x:c r="O117" s="71" t="str"/>
      <x:c r="P117" s="71" t="str"/>
      <x:c r="Q117" s="71" t="str"/>
      <x:c r="R117" s="71" t="str"/>
      <x:c r="S117" s="71" t="str"/>
      <x:c r="T117" s="71" t="str"/>
      <x:c r="U117" s="71" t="str"/>
      <x:c r="V117" s="49" t="str">
        <x:v>A dark bark strip with gray ridges hard as scale. Its shavings smell of ironwood, smoke, and bitter tea.</x:v>
      </x:c>
    </x:row>
    <x:row r="118">
      <x:c r="A118" s="48" t="str">
        <x:v>Core</x:v>
      </x:c>
      <x:c r="B118" s="71" t="str">
        <x:v>Thorn / Bark / Wood</x:v>
      </x:c>
      <x:c r="C118" s="71" t="str">
        <x:v>Uncommon</x:v>
      </x:c>
      <x:c r="D118" s="71" t="str">
        <x:v>Redbark Curl</x:v>
      </x:c>
      <x:c r="E118" s="71" t="n">
        <x:v>2</x:v>
      </x:c>
      <x:c r="F118" s="71" t="n">
        <x:v>50</x:v>
      </x:c>
      <x:c r="G118" s="71" t="n">
        <x:v>25</x:v>
      </x:c>
      <x:c r="H118" s="71" t="n">
        <x:v>0</x:v>
      </x:c>
      <x:c r="I118" s="71" t="n">
        <x:v>0</x:v>
      </x:c>
      <x:c r="J118" s="71" t="n">
        <x:v>0</x:v>
      </x:c>
      <x:c r="K118" s="71" t="n">
        <x:v>0</x:v>
      </x:c>
      <x:c r="L118" s="71" t="str"/>
      <x:c r="M118" s="71" t="str"/>
      <x:c r="N118" s="71" t="str"/>
      <x:c r="O118" s="71" t="str"/>
      <x:c r="P118" s="71" t="str"/>
      <x:c r="Q118" s="71" t="str"/>
      <x:c r="R118" s="71" t="str"/>
      <x:c r="S118" s="71" t="str"/>
      <x:c r="T118" s="71" t="str"/>
      <x:c r="U118" s="71" t="str"/>
      <x:c r="V118" s="49" t="str">
        <x:v>A curled strip of crimson bark with a soft silver underside. It feels leathery and smells of cinnamon, iron-rich soil, and fresh-cut timber.</x:v>
      </x:c>
    </x:row>
    <x:row r="119">
      <x:c r="A119" s="48" t="str">
        <x:v>Core</x:v>
      </x:c>
      <x:c r="B119" s="71" t="str">
        <x:v>Thorn / Bark / Wood</x:v>
      </x:c>
      <x:c r="C119" s="71" t="str">
        <x:v>Uncommon</x:v>
      </x:c>
      <x:c r="D119" s="71" t="str">
        <x:v>Stonebriar</x:v>
      </x:c>
      <x:c r="E119" s="71" t="n">
        <x:v>2</x:v>
      </x:c>
      <x:c r="F119" s="71" t="n">
        <x:v>25</x:v>
      </x:c>
      <x:c r="G119" s="71" t="n">
        <x:v>0</x:v>
      </x:c>
      <x:c r="H119" s="71" t="n">
        <x:v>0</x:v>
      </x:c>
      <x:c r="I119" s="71" t="n">
        <x:v>0</x:v>
      </x:c>
      <x:c r="J119" s="71" t="n">
        <x:v>1</x:v>
      </x:c>
      <x:c r="K119" s="71" t="n">
        <x:v>0</x:v>
      </x:c>
      <x:c r="L119" s="71" t="str"/>
      <x:c r="M119" s="71" t="str"/>
      <x:c r="N119" s="71" t="str"/>
      <x:c r="O119" s="71" t="str"/>
      <x:c r="P119" s="71" t="str"/>
      <x:c r="Q119" s="71" t="str"/>
      <x:c r="R119" s="71" t="str"/>
      <x:c r="S119" s="71" t="str"/>
      <x:c r="T119" s="71" t="str"/>
      <x:c r="U119" s="71" t="str"/>
      <x:c r="V119" s="49" t="str">
        <x:v>A gray-green briar with bark textured like sandstone. It is rough and heavy, smells of crushed thyme and quarry dust, and sparks against steel.</x:v>
      </x:c>
    </x:row>
    <x:row r="120">
      <x:c r="A120" s="48" t="str">
        <x:v>Core</x:v>
      </x:c>
      <x:c r="B120" s="71" t="str">
        <x:v>Thorn / Bark / Wood</x:v>
      </x:c>
      <x:c r="C120" s="71" t="str">
        <x:v>Rare</x:v>
      </x:c>
      <x:c r="D120" s="71" t="str">
        <x:v>Bloodthorn Bundle</x:v>
      </x:c>
      <x:c r="E120" s="71" t="n">
        <x:v>4</x:v>
      </x:c>
      <x:c r="F120" s="71" t="n">
        <x:v>50</x:v>
      </x:c>
      <x:c r="G120" s="71" t="n">
        <x:v>0</x:v>
      </x:c>
      <x:c r="H120" s="71" t="n">
        <x:v>0</x:v>
      </x:c>
      <x:c r="I120" s="71" t="n">
        <x:v>0</x:v>
      </x:c>
      <x:c r="J120" s="71" t="n">
        <x:v>1</x:v>
      </x:c>
      <x:c r="K120" s="71" t="n">
        <x:v>0</x:v>
      </x:c>
      <x:c r="L120" s="71" t="str"/>
      <x:c r="M120" s="71" t="str"/>
      <x:c r="N120" s="71" t="str"/>
      <x:c r="O120" s="71" t="str"/>
      <x:c r="P120" s="71" t="str"/>
      <x:c r="Q120" s="71" t="str"/>
      <x:c r="R120" s="71" t="str"/>
      <x:c r="S120" s="71" t="str"/>
      <x:c r="T120" s="71" t="str"/>
      <x:c r="U120" s="71" t="str"/>
      <x:c r="V120" s="49" t="str">
        <x:v>A thorny bundle wrapped in dark red fibers. Its points bead with sticky sap and smell of copper and bramble.</x:v>
      </x:c>
    </x:row>
    <x:row r="121">
      <x:c r="A121" s="48" t="str">
        <x:v>Core</x:v>
      </x:c>
      <x:c r="B121" s="71" t="str">
        <x:v>Thorn / Bark / Wood</x:v>
      </x:c>
      <x:c r="C121" s="71" t="str">
        <x:v>Rare</x:v>
      </x:c>
      <x:c r="D121" s="71" t="str">
        <x:v>Guardian Oak Heartwood</x:v>
      </x:c>
      <x:c r="E121" s="71" t="n">
        <x:v>4</x:v>
      </x:c>
      <x:c r="F121" s="71" t="n">
        <x:v>50</x:v>
      </x:c>
      <x:c r="G121" s="71" t="n">
        <x:v>50</x:v>
      </x:c>
      <x:c r="H121" s="71" t="n">
        <x:v>0</x:v>
      </x:c>
      <x:c r="I121" s="71" t="n">
        <x:v>0</x:v>
      </x:c>
      <x:c r="J121" s="71" t="n">
        <x:v>0</x:v>
      </x:c>
      <x:c r="K121" s="71" t="n">
        <x:v>0</x:v>
      </x:c>
      <x:c r="L121" s="71" t="str"/>
      <x:c r="M121" s="71" t="str"/>
      <x:c r="N121" s="71" t="str"/>
      <x:c r="O121" s="71" t="str"/>
      <x:c r="P121" s="71" t="str"/>
      <x:c r="Q121" s="71" t="str"/>
      <x:c r="R121" s="71" t="str"/>
      <x:c r="S121" s="71" t="str"/>
      <x:c r="T121" s="71" t="str"/>
      <x:c r="U121" s="71" t="str"/>
      <x:c r="V121" s="49" t="str">
        <x:v>Dense golden heartwood cut from a tree scarred by lightning. It smells of acorns, rain, and old leather, and vibrates faintly when danger approaches.</x:v>
      </x:c>
    </x:row>
    <x:row r="122">
      <x:c r="A122" s="48" t="str">
        <x:v>Core</x:v>
      </x:c>
      <x:c r="B122" s="71" t="str">
        <x:v>Thorn / Bark / Wood</x:v>
      </x:c>
      <x:c r="C122" s="71" t="str">
        <x:v>Rare</x:v>
      </x:c>
      <x:c r="D122" s="71" t="str">
        <x:v>Kingshield Bark</x:v>
      </x:c>
      <x:c r="E122" s="71" t="n">
        <x:v>4</x:v>
      </x:c>
      <x:c r="F122" s="71" t="n">
        <x:v>100</x:v>
      </x:c>
      <x:c r="G122" s="71" t="n">
        <x:v>0</x:v>
      </x:c>
      <x:c r="H122" s="71" t="n">
        <x:v>0</x:v>
      </x:c>
      <x:c r="I122" s="71" t="n">
        <x:v>0</x:v>
      </x:c>
      <x:c r="J122" s="71" t="n">
        <x:v>0</x:v>
      </x:c>
      <x:c r="K122" s="71" t="n">
        <x:v>0</x:v>
      </x:c>
      <x:c r="L122" s="71" t="str"/>
      <x:c r="M122" s="71" t="str"/>
      <x:c r="N122" s="71" t="str"/>
      <x:c r="O122" s="71" t="str"/>
      <x:c r="P122" s="71" t="str"/>
      <x:c r="Q122" s="71" t="str"/>
      <x:c r="R122" s="71" t="str"/>
      <x:c r="S122" s="71" t="str"/>
      <x:c r="T122" s="71" t="str"/>
      <x:c r="U122" s="71" t="str"/>
      <x:c r="V122" s="49" t="str">
        <x:v>A broad golden-brown bark scale with overlapping ridges like armor plates. It smells of oak smoke, leather, and warm spice.</x:v>
      </x:c>
    </x:row>
    <x:row r="123">
      <x:c r="A123" s="48" t="str">
        <x:v>Core</x:v>
      </x:c>
      <x:c r="B123" s="71" t="str">
        <x:v>Thorn / Bark / Wood</x:v>
      </x:c>
      <x:c r="C123" s="71" t="str">
        <x:v>Rare</x:v>
      </x:c>
      <x:c r="D123" s="71" t="str">
        <x:v>Stonebark Shaving</x:v>
      </x:c>
      <x:c r="E123" s="71" t="n">
        <x:v>4</x:v>
      </x:c>
      <x:c r="F123" s="71" t="n">
        <x:v>75</x:v>
      </x:c>
      <x:c r="G123" s="71" t="n">
        <x:v>25</x:v>
      </x:c>
      <x:c r="H123" s="71" t="n">
        <x:v>0</x:v>
      </x:c>
      <x:c r="I123" s="71" t="n">
        <x:v>0</x:v>
      </x:c>
      <x:c r="J123" s="71" t="n">
        <x:v>0</x:v>
      </x:c>
      <x:c r="K123" s="71" t="n">
        <x:v>0</x:v>
      </x:c>
      <x:c r="L123" s="71" t="str"/>
      <x:c r="M123" s="71" t="str"/>
      <x:c r="N123" s="71" t="str"/>
      <x:c r="O123" s="71" t="str"/>
      <x:c r="P123" s="71" t="str"/>
      <x:c r="Q123" s="71" t="str"/>
      <x:c r="R123" s="71" t="str"/>
      <x:c r="S123" s="71" t="str"/>
      <x:c r="T123" s="71" t="str"/>
      <x:c r="U123" s="71" t="str"/>
      <x:c r="V123" s="49" t="str">
        <x:v>A pale shaving from bark hardened like stone. It rasps in the mortar and smells of chalk, oak, and rain.</x:v>
      </x:c>
    </x:row>
    <x:row r="124">
      <x:c r="A124" s="48" t="str">
        <x:v>Core</x:v>
      </x:c>
      <x:c r="B124" s="71" t="str">
        <x:v>Thorn / Bark / Wood</x:v>
      </x:c>
      <x:c r="C124" s="71" t="str">
        <x:v>Very Rare</x:v>
      </x:c>
      <x:c r="D124" s="71" t="str">
        <x:v>Adamant Briarheart</x:v>
      </x:c>
      <x:c r="E124" s="71" t="n">
        <x:v>6</x:v>
      </x:c>
      <x:c r="F124" s="71" t="n">
        <x:v>25</x:v>
      </x:c>
      <x:c r="G124" s="71" t="n">
        <x:v>0</x:v>
      </x:c>
      <x:c r="H124" s="71" t="n">
        <x:v>0</x:v>
      </x:c>
      <x:c r="I124" s="71" t="n">
        <x:v>0</x:v>
      </x:c>
      <x:c r="J124" s="71" t="n">
        <x:v>0</x:v>
      </x:c>
      <x:c r="K124" s="71" t="n">
        <x:v>1</x:v>
      </x:c>
      <x:c r="L124" s="71" t="str"/>
      <x:c r="M124" s="71" t="str"/>
      <x:c r="N124" s="71" t="str"/>
      <x:c r="O124" s="71" t="str"/>
      <x:c r="P124" s="71" t="str"/>
      <x:c r="Q124" s="71" t="str"/>
      <x:c r="R124" s="71" t="str"/>
      <x:c r="S124" s="71" t="str"/>
      <x:c r="T124" s="71" t="str"/>
      <x:c r="U124" s="71" t="str"/>
      <x:c r="V124" s="49" t="str">
        <x:v>A fist-sized knot of metallic black briarwood threaded with green light. It rings like steel, smells of sap and lightning, and cannot be cut by ordinary knives.</x:v>
      </x:c>
    </x:row>
    <x:row r="125">
      <x:c r="A125" s="48" t="str">
        <x:v>Core</x:v>
      </x:c>
      <x:c r="B125" s="71" t="str">
        <x:v>Thorn / Bark / Wood</x:v>
      </x:c>
      <x:c r="C125" s="71" t="str">
        <x:v>Very Rare</x:v>
      </x:c>
      <x:c r="D125" s="71" t="str">
        <x:v>Crownthorn Knot</x:v>
      </x:c>
      <x:c r="E125" s="71" t="n">
        <x:v>6</x:v>
      </x:c>
      <x:c r="F125" s="71" t="n">
        <x:v>75</x:v>
      </x:c>
      <x:c r="G125" s="71" t="n">
        <x:v>0</x:v>
      </x:c>
      <x:c r="H125" s="71" t="n">
        <x:v>0</x:v>
      </x:c>
      <x:c r="I125" s="71" t="n">
        <x:v>0</x:v>
      </x:c>
      <x:c r="J125" s="71" t="n">
        <x:v>2</x:v>
      </x:c>
      <x:c r="K125" s="71" t="n">
        <x:v>0</x:v>
      </x:c>
      <x:c r="L125" s="71" t="str"/>
      <x:c r="M125" s="71" t="str">
        <x:v>Blinded</x:v>
      </x:c>
      <x:c r="N125" s="71" t="str">
        <x:v>Constitution</x:v>
      </x:c>
      <x:c r="O125" s="71" t="str">
        <x:v>1 minute</x:v>
      </x:c>
      <x:c r="P125" s="71" t="str">
        <x:v>end of each turn</x:v>
      </x:c>
      <x:c r="Q125" s="71" t="str">
        <x:v>Poisons, Bombs</x:v>
      </x:c>
      <x:c r="R125" s="71" t="str">
        <x:v>No budget cost</x:v>
      </x:c>
      <x:c r="S125" s="71" t="str"/>
      <x:c r="T125" s="71" t="str"/>
      <x:c r="U125" s="71" t="str"/>
      <x:c r="V125" s="49" t="str">
        <x:v>A twisted thorn-knot shaped like a small crown. Its barbs shine gold at the tips and smell of bitter sap and ozone.</x:v>
      </x:c>
    </x:row>
    <x:row r="126">
      <x:c r="A126" s="48" t="str">
        <x:v>Core</x:v>
      </x:c>
      <x:c r="B126" s="71" t="str">
        <x:v>Thorn / Bark / Wood</x:v>
      </x:c>
      <x:c r="C126" s="71" t="str">
        <x:v>Very Rare</x:v>
      </x:c>
      <x:c r="D126" s="71" t="str">
        <x:v>Elder Ironwood Heart</x:v>
      </x:c>
      <x:c r="E126" s="71" t="n">
        <x:v>6</x:v>
      </x:c>
      <x:c r="F126" s="71" t="n">
        <x:v>125</x:v>
      </x:c>
      <x:c r="G126" s="71" t="n">
        <x:v>0</x:v>
      </x:c>
      <x:c r="H126" s="71" t="n">
        <x:v>0</x:v>
      </x:c>
      <x:c r="I126" s="71" t="n">
        <x:v>0</x:v>
      </x:c>
      <x:c r="J126" s="71" t="n">
        <x:v>0</x:v>
      </x:c>
      <x:c r="K126" s="71" t="n">
        <x:v>0</x:v>
      </x:c>
      <x:c r="L126" s="71" t="str"/>
      <x:c r="M126" s="71" t="str"/>
      <x:c r="N126" s="71" t="str"/>
      <x:c r="O126" s="71" t="str"/>
      <x:c r="P126" s="71" t="str"/>
      <x:c r="Q126" s="71" t="str"/>
      <x:c r="R126" s="71" t="str"/>
      <x:c r="S126" s="71" t="str"/>
      <x:c r="T126" s="71" t="str"/>
      <x:c r="U126" s="71" t="str"/>
      <x:c r="V126" s="49" t="str">
        <x:v>A dense black heartwood chip with silver grain. It feels almost metallic and smells of old forests and forge smoke.</x:v>
      </x:c>
    </x:row>
    <x:row r="127">
      <x:c r="A127" s="48" t="str">
        <x:v>Core</x:v>
      </x:c>
      <x:c r="B127" s="71" t="str">
        <x:v>Thorn / Bark / Wood</x:v>
      </x:c>
      <x:c r="C127" s="71" t="str">
        <x:v>Very Rare</x:v>
      </x:c>
      <x:c r="D127" s="71" t="str">
        <x:v>Worldbriar Heart</x:v>
      </x:c>
      <x:c r="E127" s="71" t="n">
        <x:v>6</x:v>
      </x:c>
      <x:c r="F127" s="71" t="n">
        <x:v>75</x:v>
      </x:c>
      <x:c r="G127" s="71" t="n">
        <x:v>50</x:v>
      </x:c>
      <x:c r="H127" s="71" t="n">
        <x:v>0</x:v>
      </x:c>
      <x:c r="I127" s="71" t="n">
        <x:v>0</x:v>
      </x:c>
      <x:c r="J127" s="71" t="n">
        <x:v>0</x:v>
      </x:c>
      <x:c r="K127" s="71" t="n">
        <x:v>0</x:v>
      </x:c>
      <x:c r="L127" s="71" t="str"/>
      <x:c r="M127" s="71" t="str"/>
      <x:c r="N127" s="71" t="str"/>
      <x:c r="O127" s="71" t="str"/>
      <x:c r="P127" s="71" t="str"/>
      <x:c r="Q127" s="71" t="str"/>
      <x:c r="R127" s="71" t="str"/>
      <x:c r="S127" s="71" t="str"/>
      <x:c r="T127" s="71" t="str"/>
      <x:c r="U127" s="71" t="str"/>
      <x:c r="V127" s="49" t="str">
        <x:v>A fist-sized knot of black wood wrapped in living green thorns. It pulses faintly when watered and smells of forest rain, resin, and blood-warm sap.</x:v>
      </x:c>
    </x:row>
    <x:row r="128">
      <x:c r="A128" s="48" t="str">
        <x:v>Core</x:v>
      </x:c>
      <x:c r="B128" s="71" t="str">
        <x:v>Mineral / Salt / Ash</x:v>
      </x:c>
      <x:c r="C128" s="71" t="str">
        <x:v>Common</x:v>
      </x:c>
      <x:c r="D128" s="71" t="str">
        <x:v>Bonewhite Ash</x:v>
      </x:c>
      <x:c r="E128" s="71" t="n">
        <x:v>0</x:v>
      </x:c>
      <x:c r="F128" s="71" t="n">
        <x:v>25</x:v>
      </x:c>
      <x:c r="G128" s="71" t="n">
        <x:v>0</x:v>
      </x:c>
      <x:c r="H128" s="71" t="n">
        <x:v>0</x:v>
      </x:c>
      <x:c r="I128" s="71" t="n">
        <x:v>0</x:v>
      </x:c>
      <x:c r="J128" s="71" t="n">
        <x:v>0</x:v>
      </x:c>
      <x:c r="K128" s="71" t="n">
        <x:v>0</x:v>
      </x:c>
      <x:c r="L128" s="71" t="str"/>
      <x:c r="M128" s="71" t="str"/>
      <x:c r="N128" s="71" t="str"/>
      <x:c r="O128" s="71" t="str"/>
      <x:c r="P128" s="71" t="str"/>
      <x:c r="Q128" s="71" t="str"/>
      <x:c r="R128" s="71" t="str"/>
      <x:c r="S128" s="71" t="str"/>
      <x:c r="T128" s="71" t="str"/>
      <x:c r="U128" s="71" t="str"/>
      <x:c r="V128" s="49" t="str">
        <x:v>Fine white ash with a silky texture and faint warmth. It smells of clean charcoal, dry herbs, and sun-baked clay.</x:v>
      </x:c>
    </x:row>
    <x:row r="129">
      <x:c r="A129" s="48" t="str">
        <x:v>Core</x:v>
      </x:c>
      <x:c r="B129" s="71" t="str">
        <x:v>Mineral / Salt / Ash</x:v>
      </x:c>
      <x:c r="C129" s="71" t="str">
        <x:v>Common</x:v>
      </x:c>
      <x:c r="D129" s="71" t="str">
        <x:v>Cave Salt</x:v>
      </x:c>
      <x:c r="E129" s="71" t="n">
        <x:v>0</x:v>
      </x:c>
      <x:c r="F129" s="71" t="n">
        <x:v>0</x:v>
      </x:c>
      <x:c r="G129" s="71" t="n">
        <x:v>25</x:v>
      </x:c>
      <x:c r="H129" s="71" t="n">
        <x:v>0</x:v>
      </x:c>
      <x:c r="I129" s="71" t="n">
        <x:v>0</x:v>
      </x:c>
      <x:c r="J129" s="71" t="n">
        <x:v>0</x:v>
      </x:c>
      <x:c r="K129" s="71" t="n">
        <x:v>0</x:v>
      </x:c>
      <x:c r="L129" s="71" t="str"/>
      <x:c r="M129" s="71" t="str"/>
      <x:c r="N129" s="71" t="str"/>
      <x:c r="O129" s="71" t="str"/>
      <x:c r="P129" s="71" t="str"/>
      <x:c r="Q129" s="71" t="str"/>
      <x:c r="R129" s="71" t="str"/>
      <x:c r="S129" s="71" t="str"/>
      <x:c r="T129" s="71" t="str"/>
      <x:c r="U129" s="71" t="str"/>
      <x:c r="V129" s="49" t="str">
        <x:v>Coarse gray crystals gathered from cave walls. They crunch like sand, taste smoky and mineral, and smell faintly of wet limestone.</x:v>
      </x:c>
    </x:row>
    <x:row r="130">
      <x:c r="A130" s="48" t="str">
        <x:v>Core</x:v>
      </x:c>
      <x:c r="B130" s="71" t="str">
        <x:v>Mineral / Salt / Ash</x:v>
      </x:c>
      <x:c r="C130" s="71" t="str">
        <x:v>Common</x:v>
      </x:c>
      <x:c r="D130" s="71" t="str">
        <x:v>Hearth Ash</x:v>
      </x:c>
      <x:c r="E130" s="71" t="n">
        <x:v>0</x:v>
      </x:c>
      <x:c r="F130" s="71" t="n">
        <x:v>0</x:v>
      </x:c>
      <x:c r="G130" s="71" t="n">
        <x:v>0</x:v>
      </x:c>
      <x:c r="H130" s="71" t="n">
        <x:v>25</x:v>
      </x:c>
      <x:c r="I130" s="71" t="n">
        <x:v>0</x:v>
      </x:c>
      <x:c r="J130" s="71" t="n">
        <x:v>0</x:v>
      </x:c>
      <x:c r="K130" s="71" t="n">
        <x:v>0</x:v>
      </x:c>
      <x:c r="L130" s="71" t="str"/>
      <x:c r="M130" s="71" t="str"/>
      <x:c r="N130" s="71" t="str"/>
      <x:c r="O130" s="71" t="str"/>
      <x:c r="P130" s="71" t="str"/>
      <x:c r="Q130" s="71" t="str"/>
      <x:c r="R130" s="71" t="str"/>
      <x:c r="S130" s="71" t="str"/>
      <x:c r="T130" s="71" t="str"/>
      <x:c r="U130" s="71" t="str"/>
      <x:c r="V130" s="49" t="str">
        <x:v>Soft gray ash sifted from medicinal hardwood fires. It is warm, silky, and smells of charcoal, rosemary, and baked clay.</x:v>
      </x:c>
    </x:row>
    <x:row r="131">
      <x:c r="A131" s="48" t="str">
        <x:v>Core</x:v>
      </x:c>
      <x:c r="B131" s="71" t="str">
        <x:v>Mineral / Salt / Ash</x:v>
      </x:c>
      <x:c r="C131" s="71" t="str">
        <x:v>Common</x:v>
      </x:c>
      <x:c r="D131" s="71" t="str">
        <x:v>River Chalk</x:v>
      </x:c>
      <x:c r="E131" s="71" t="n">
        <x:v>0</x:v>
      </x:c>
      <x:c r="F131" s="71" t="n">
        <x:v>25</x:v>
      </x:c>
      <x:c r="G131" s="71" t="n">
        <x:v>0</x:v>
      </x:c>
      <x:c r="H131" s="71" t="n">
        <x:v>0</x:v>
      </x:c>
      <x:c r="I131" s="71" t="n">
        <x:v>0</x:v>
      </x:c>
      <x:c r="J131" s="71" t="n">
        <x:v>0</x:v>
      </x:c>
      <x:c r="K131" s="71" t="n">
        <x:v>0</x:v>
      </x:c>
      <x:c r="L131" s="71" t="str"/>
      <x:c r="M131" s="71" t="str"/>
      <x:c r="N131" s="71" t="str"/>
      <x:c r="O131" s="71" t="str"/>
      <x:c r="P131" s="71" t="str"/>
      <x:c r="Q131" s="71" t="str"/>
      <x:c r="R131" s="71" t="str"/>
      <x:c r="S131" s="71" t="str"/>
      <x:c r="T131" s="71" t="str"/>
      <x:c r="U131" s="71" t="str"/>
      <x:c r="V131" s="49" t="str">
        <x:v>A smooth pale chalk pebble gathered from fast water. It crumbles cool and fine, tasting mineral and smelling of wet stone.</x:v>
      </x:c>
    </x:row>
    <x:row r="132">
      <x:c r="A132" s="48" t="str">
        <x:v>Core</x:v>
      </x:c>
      <x:c r="B132" s="71" t="str">
        <x:v>Mineral / Salt / Ash</x:v>
      </x:c>
      <x:c r="C132" s="71" t="str">
        <x:v>Common</x:v>
      </x:c>
      <x:c r="D132" s="71" t="str">
        <x:v>Spring Salt</x:v>
      </x:c>
      <x:c r="E132" s="71" t="n">
        <x:v>0</x:v>
      </x:c>
      <x:c r="F132" s="71" t="n">
        <x:v>0</x:v>
      </x:c>
      <x:c r="G132" s="71" t="n">
        <x:v>25</x:v>
      </x:c>
      <x:c r="H132" s="71" t="n">
        <x:v>0</x:v>
      </x:c>
      <x:c r="I132" s="71" t="n">
        <x:v>0</x:v>
      </x:c>
      <x:c r="J132" s="71" t="n">
        <x:v>0</x:v>
      </x:c>
      <x:c r="K132" s="71" t="n">
        <x:v>0</x:v>
      </x:c>
      <x:c r="L132" s="71" t="str"/>
      <x:c r="M132" s="71" t="str"/>
      <x:c r="N132" s="71" t="str"/>
      <x:c r="O132" s="71" t="str"/>
      <x:c r="P132" s="71" t="str"/>
      <x:c r="Q132" s="71" t="str"/>
      <x:c r="R132" s="71" t="str"/>
      <x:c r="S132" s="71" t="str"/>
      <x:c r="T132" s="71" t="str"/>
      <x:c r="U132" s="71" t="str"/>
      <x:c r="V132" s="49" t="str">
        <x:v>Coarse white salt with green flecks and a clean mineral scent. It tastes bright and cold.</x:v>
      </x:c>
    </x:row>
    <x:row r="133">
      <x:c r="A133" s="48" t="str">
        <x:v>Core</x:v>
      </x:c>
      <x:c r="B133" s="71" t="str">
        <x:v>Mineral / Salt / Ash</x:v>
      </x:c>
      <x:c r="C133" s="71" t="str">
        <x:v>Uncommon</x:v>
      </x:c>
      <x:c r="D133" s="71" t="str">
        <x:v>Alchemical Salt</x:v>
      </x:c>
      <x:c r="E133" s="71" t="n">
        <x:v>2</x:v>
      </x:c>
      <x:c r="F133" s="71" t="n">
        <x:v>0</x:v>
      </x:c>
      <x:c r="G133" s="71" t="n">
        <x:v>75</x:v>
      </x:c>
      <x:c r="H133" s="71" t="n">
        <x:v>0</x:v>
      </x:c>
      <x:c r="I133" s="71" t="n">
        <x:v>0</x:v>
      </x:c>
      <x:c r="J133" s="71" t="n">
        <x:v>0</x:v>
      </x:c>
      <x:c r="K133" s="71" t="n">
        <x:v>0</x:v>
      </x:c>
      <x:c r="L133" s="71" t="str"/>
      <x:c r="M133" s="71" t="str"/>
      <x:c r="N133" s="71" t="str"/>
      <x:c r="O133" s="71" t="str"/>
      <x:c r="P133" s="71" t="str"/>
      <x:c r="Q133" s="71" t="str"/>
      <x:c r="R133" s="71" t="str"/>
      <x:c r="S133" s="71" t="str"/>
      <x:c r="T133" s="71" t="str"/>
      <x:c r="U133" s="71" t="str"/>
      <x:c r="V133" s="49" t="str">
        <x:v>A refined salt that sparks faintly under a pestle. It smells sterile, mineral, and sharp.</x:v>
      </x:c>
    </x:row>
    <x:row r="134">
      <x:c r="A134" s="48" t="str">
        <x:v>Core</x:v>
      </x:c>
      <x:c r="B134" s="71" t="str">
        <x:v>Mineral / Salt / Ash</x:v>
      </x:c>
      <x:c r="C134" s="71" t="str">
        <x:v>Uncommon</x:v>
      </x:c>
      <x:c r="D134" s="71" t="str">
        <x:v>Charcoal Ash</x:v>
      </x:c>
      <x:c r="E134" s="71" t="n">
        <x:v>2</x:v>
      </x:c>
      <x:c r="F134" s="71" t="n">
        <x:v>0</x:v>
      </x:c>
      <x:c r="G134" s="71" t="n">
        <x:v>25</x:v>
      </x:c>
      <x:c r="H134" s="71" t="n">
        <x:v>0</x:v>
      </x:c>
      <x:c r="I134" s="71" t="n">
        <x:v>1</x:v>
      </x:c>
      <x:c r="J134" s="71" t="n">
        <x:v>0</x:v>
      </x:c>
      <x:c r="K134" s="71" t="n">
        <x:v>0</x:v>
      </x:c>
      <x:c r="L134" s="71" t="str"/>
      <x:c r="M134" s="71" t="str"/>
      <x:c r="N134" s="71" t="str"/>
      <x:c r="O134" s="71" t="str"/>
      <x:c r="P134" s="71" t="str"/>
      <x:c r="Q134" s="71" t="str"/>
      <x:c r="R134" s="71" t="str"/>
      <x:c r="S134" s="71" t="str"/>
      <x:c r="T134" s="71" t="str"/>
      <x:c r="U134" s="71" t="str"/>
      <x:c r="V134" s="49" t="str">
        <x:v>Soft black ash with silver-gray dust at the edges. It smells smoky, dry, and faintly sweet.</x:v>
      </x:c>
    </x:row>
    <x:row r="135">
      <x:c r="A135" s="48" t="str">
        <x:v>Core</x:v>
      </x:c>
      <x:c r="B135" s="71" t="str">
        <x:v>Mineral / Salt / Ash</x:v>
      </x:c>
      <x:c r="C135" s="71" t="str">
        <x:v>Uncommon</x:v>
      </x:c>
      <x:c r="D135" s="71" t="str">
        <x:v>Glass Sand</x:v>
      </x:c>
      <x:c r="E135" s="71" t="n">
        <x:v>2</x:v>
      </x:c>
      <x:c r="F135" s="71" t="n">
        <x:v>50</x:v>
      </x:c>
      <x:c r="G135" s="71" t="n">
        <x:v>25</x:v>
      </x:c>
      <x:c r="H135" s="71" t="n">
        <x:v>0</x:v>
      </x:c>
      <x:c r="I135" s="71" t="n">
        <x:v>0</x:v>
      </x:c>
      <x:c r="J135" s="71" t="n">
        <x:v>0</x:v>
      </x:c>
      <x:c r="K135" s="71" t="n">
        <x:v>0</x:v>
      </x:c>
      <x:c r="L135" s="71" t="str"/>
      <x:c r="M135" s="71" t="str"/>
      <x:c r="N135" s="71" t="str"/>
      <x:c r="O135" s="71" t="str"/>
      <x:c r="P135" s="71" t="str"/>
      <x:c r="Q135" s="71" t="str"/>
      <x:c r="R135" s="71" t="str"/>
      <x:c r="S135" s="71" t="str"/>
      <x:c r="T135" s="71" t="str"/>
      <x:c r="U135" s="71" t="str"/>
      <x:c r="V135" s="49" t="str">
        <x:v>Fine transparent grains that chime faintly when poured. They feel sharp but leave no cuts and smell of hot stone and salt air.</x:v>
      </x:c>
    </x:row>
    <x:row r="136">
      <x:c r="A136" s="48" t="str">
        <x:v>Core</x:v>
      </x:c>
      <x:c r="B136" s="71" t="str">
        <x:v>Mineral / Salt / Ash</x:v>
      </x:c>
      <x:c r="C136" s="71" t="str">
        <x:v>Uncommon</x:v>
      </x:c>
      <x:c r="D136" s="71" t="str">
        <x:v>Mireglass Sand</x:v>
      </x:c>
      <x:c r="E136" s="71" t="n">
        <x:v>2</x:v>
      </x:c>
      <x:c r="F136" s="71" t="n">
        <x:v>0</x:v>
      </x:c>
      <x:c r="G136" s="71" t="n">
        <x:v>25</x:v>
      </x:c>
      <x:c r="H136" s="71" t="n">
        <x:v>0</x:v>
      </x:c>
      <x:c r="I136" s="71" t="n">
        <x:v>0</x:v>
      </x:c>
      <x:c r="J136" s="71" t="n">
        <x:v>1</x:v>
      </x:c>
      <x:c r="K136" s="71" t="n">
        <x:v>0</x:v>
      </x:c>
      <x:c r="L136" s="71" t="str"/>
      <x:c r="M136" s="71" t="str"/>
      <x:c r="N136" s="71" t="str"/>
      <x:c r="O136" s="71" t="str"/>
      <x:c r="P136" s="71" t="str"/>
      <x:c r="Q136" s="71" t="str"/>
      <x:c r="R136" s="71" t="str"/>
      <x:c r="S136" s="71" t="str"/>
      <x:c r="T136" s="71" t="str"/>
      <x:c r="U136" s="71" t="str"/>
      <x:c r="V136" s="49" t="str">
        <x:v>Dark green glass grains rounded smooth by swamp water. They feel cool and oily, smell of reeds and iron, and glow faintly beneath moonlight.</x:v>
      </x:c>
    </x:row>
    <x:row r="137">
      <x:c r="A137" s="48" t="str">
        <x:v>Core</x:v>
      </x:c>
      <x:c r="B137" s="71" t="str">
        <x:v>Mineral / Salt / Ash</x:v>
      </x:c>
      <x:c r="C137" s="71" t="str">
        <x:v>Uncommon</x:v>
      </x:c>
      <x:c r="D137" s="71" t="str">
        <x:v>Sunflint Powder</x:v>
      </x:c>
      <x:c r="E137" s="71" t="n">
        <x:v>2</x:v>
      </x:c>
      <x:c r="F137" s="71" t="n">
        <x:v>0</x:v>
      </x:c>
      <x:c r="G137" s="71" t="n">
        <x:v>25</x:v>
      </x:c>
      <x:c r="H137" s="71" t="n">
        <x:v>50</x:v>
      </x:c>
      <x:c r="I137" s="71" t="n">
        <x:v>0</x:v>
      </x:c>
      <x:c r="J137" s="71" t="n">
        <x:v>0</x:v>
      </x:c>
      <x:c r="K137" s="71" t="n">
        <x:v>0</x:v>
      </x:c>
      <x:c r="L137" s="71" t="str"/>
      <x:c r="M137" s="71" t="str"/>
      <x:c r="N137" s="71" t="str"/>
      <x:c r="O137" s="71" t="str"/>
      <x:c r="P137" s="71" t="str"/>
      <x:c r="Q137" s="71" t="str"/>
      <x:c r="R137" s="71" t="str"/>
      <x:c r="S137" s="71" t="str"/>
      <x:c r="T137" s="71" t="str"/>
      <x:c r="U137" s="71" t="str"/>
      <x:c r="V137" s="49" t="str">
        <x:v>Bright yellow stone powder that flashes when poured into sunlight. It feels gritty and warm, smelling of citrus peel and struck flint.</x:v>
      </x:c>
    </x:row>
    <x:row r="138">
      <x:c r="A138" s="48" t="str">
        <x:v>Core</x:v>
      </x:c>
      <x:c r="B138" s="71" t="str">
        <x:v>Mineral / Salt / Ash</x:v>
      </x:c>
      <x:c r="C138" s="71" t="str">
        <x:v>Rare</x:v>
      </x:c>
      <x:c r="D138" s="71" t="str">
        <x:v>Diamond Dust Salt</x:v>
      </x:c>
      <x:c r="E138" s="71" t="n">
        <x:v>4</x:v>
      </x:c>
      <x:c r="F138" s="71" t="n">
        <x:v>0</x:v>
      </x:c>
      <x:c r="G138" s="71" t="n">
        <x:v>50</x:v>
      </x:c>
      <x:c r="H138" s="71" t="n">
        <x:v>0</x:v>
      </x:c>
      <x:c r="I138" s="71" t="n">
        <x:v>1</x:v>
      </x:c>
      <x:c r="J138" s="71" t="n">
        <x:v>0</x:v>
      </x:c>
      <x:c r="K138" s="71" t="n">
        <x:v>0</x:v>
      </x:c>
      <x:c r="L138" s="71" t="str"/>
      <x:c r="M138" s="71" t="str"/>
      <x:c r="N138" s="71" t="str"/>
      <x:c r="O138" s="71" t="str"/>
      <x:c r="P138" s="71" t="str"/>
      <x:c r="Q138" s="71" t="str"/>
      <x:c r="R138" s="71" t="str"/>
      <x:c r="S138" s="71" t="str"/>
      <x:c r="T138" s="71" t="str"/>
      <x:c r="U138" s="71" t="str"/>
      <x:c r="V138" s="49" t="str">
        <x:v>Glittering salt mixed with hard crystal dust. It scratches glass and smells cold, clean, and expensive.</x:v>
      </x:c>
    </x:row>
    <x:row r="139">
      <x:c r="A139" s="48" t="str">
        <x:v>Core</x:v>
      </x:c>
      <x:c r="B139" s="71" t="str">
        <x:v>Mineral / Salt / Ash</x:v>
      </x:c>
      <x:c r="C139" s="71" t="str">
        <x:v>Rare</x:v>
      </x:c>
      <x:c r="D139" s="71" t="str">
        <x:v>Echo Crystal Dust</x:v>
      </x:c>
      <x:c r="E139" s="71" t="n">
        <x:v>4</x:v>
      </x:c>
      <x:c r="F139" s="71" t="n">
        <x:v>50</x:v>
      </x:c>
      <x:c r="G139" s="71" t="n">
        <x:v>0</x:v>
      </x:c>
      <x:c r="H139" s="71" t="n">
        <x:v>50</x:v>
      </x:c>
      <x:c r="I139" s="71" t="n">
        <x:v>0</x:v>
      </x:c>
      <x:c r="J139" s="71" t="n">
        <x:v>0</x:v>
      </x:c>
      <x:c r="K139" s="71" t="n">
        <x:v>0</x:v>
      </x:c>
      <x:c r="L139" s="71" t="str"/>
      <x:c r="M139" s="71" t="str"/>
      <x:c r="N139" s="71" t="str"/>
      <x:c r="O139" s="71" t="str"/>
      <x:c r="P139" s="71" t="str"/>
      <x:c r="Q139" s="71" t="str"/>
      <x:c r="R139" s="71" t="str"/>
      <x:c r="S139" s="71" t="str"/>
      <x:c r="T139" s="71" t="str"/>
      <x:c r="U139" s="71" t="str"/>
      <x:c r="V139" s="49" t="str">
        <x:v>Powdered clear crystal that repeats nearby sounds as tiny chimes. It feels sharp but weightless and smells of cold air after thunder.</x:v>
      </x:c>
    </x:row>
    <x:row r="140">
      <x:c r="A140" s="48" t="str">
        <x:v>Core</x:v>
      </x:c>
      <x:c r="B140" s="71" t="str">
        <x:v>Mineral / Salt / Ash</x:v>
      </x:c>
      <x:c r="C140" s="71" t="str">
        <x:v>Rare</x:v>
      </x:c>
      <x:c r="D140" s="71" t="str">
        <x:v>Grave Ash</x:v>
      </x:c>
      <x:c r="E140" s="71" t="n">
        <x:v>4</x:v>
      </x:c>
      <x:c r="F140" s="71" t="n">
        <x:v>50</x:v>
      </x:c>
      <x:c r="G140" s="71" t="n">
        <x:v>0</x:v>
      </x:c>
      <x:c r="H140" s="71" t="n">
        <x:v>0</x:v>
      </x:c>
      <x:c r="I140" s="71" t="n">
        <x:v>0</x:v>
      </x:c>
      <x:c r="J140" s="71" t="n">
        <x:v>1</x:v>
      </x:c>
      <x:c r="K140" s="71" t="n">
        <x:v>0</x:v>
      </x:c>
      <x:c r="L140" s="71" t="str"/>
      <x:c r="M140" s="71" t="str"/>
      <x:c r="N140" s="71" t="str"/>
      <x:c r="O140" s="71" t="str"/>
      <x:c r="P140" s="71" t="str"/>
      <x:c r="Q140" s="71" t="str"/>
      <x:c r="R140" s="71" t="str"/>
      <x:c r="S140" s="71" t="str"/>
      <x:c r="T140" s="71" t="str"/>
      <x:c r="U140" s="71" t="str"/>
      <x:c r="V140" s="49" t="str">
        <x:v>Pale gray ash that clumps in humid air. It smells of old stone, spent incense, and cold earth.</x:v>
      </x:c>
    </x:row>
    <x:row r="141">
      <x:c r="A141" s="48" t="str">
        <x:v>Core</x:v>
      </x:c>
      <x:c r="B141" s="71" t="str">
        <x:v>Mineral / Salt / Ash</x:v>
      </x:c>
      <x:c r="C141" s="71" t="str">
        <x:v>Rare</x:v>
      </x:c>
      <x:c r="D141" s="71" t="str">
        <x:v>Moonstone Powder</x:v>
      </x:c>
      <x:c r="E141" s="71" t="n">
        <x:v>4</x:v>
      </x:c>
      <x:c r="F141" s="71" t="n">
        <x:v>0</x:v>
      </x:c>
      <x:c r="G141" s="71" t="n">
        <x:v>100</x:v>
      </x:c>
      <x:c r="H141" s="71" t="n">
        <x:v>0</x:v>
      </x:c>
      <x:c r="I141" s="71" t="n">
        <x:v>0</x:v>
      </x:c>
      <x:c r="J141" s="71" t="n">
        <x:v>0</x:v>
      </x:c>
      <x:c r="K141" s="71" t="n">
        <x:v>0</x:v>
      </x:c>
      <x:c r="L141" s="71" t="str"/>
      <x:c r="M141" s="71" t="str"/>
      <x:c r="N141" s="71" t="str"/>
      <x:c r="O141" s="71" t="str"/>
      <x:c r="P141" s="71" t="str"/>
      <x:c r="Q141" s="71" t="str"/>
      <x:c r="R141" s="71" t="str"/>
      <x:c r="S141" s="71" t="str"/>
      <x:c r="T141" s="71" t="str"/>
      <x:c r="U141" s="71" t="str"/>
      <x:c r="V141" s="49" t="str">
        <x:v>Pearl-white mineral powder that glows blue along its edges. It feels cool and slippery and smells of dust after rain.</x:v>
      </x:c>
    </x:row>
    <x:row r="142">
      <x:c r="A142" s="48" t="str">
        <x:v>Core</x:v>
      </x:c>
      <x:c r="B142" s="71" t="str">
        <x:v>Mineral / Salt / Ash</x:v>
      </x:c>
      <x:c r="C142" s="71" t="str">
        <x:v>Very Rare</x:v>
      </x:c>
      <x:c r="D142" s="71" t="str">
        <x:v>Celestial Salt</x:v>
      </x:c>
      <x:c r="E142" s="71" t="n">
        <x:v>6</x:v>
      </x:c>
      <x:c r="F142" s="71" t="n">
        <x:v>0</x:v>
      </x:c>
      <x:c r="G142" s="71" t="n">
        <x:v>25</x:v>
      </x:c>
      <x:c r="H142" s="71" t="n">
        <x:v>0</x:v>
      </x:c>
      <x:c r="I142" s="71" t="n">
        <x:v>0</x:v>
      </x:c>
      <x:c r="J142" s="71" t="n">
        <x:v>0</x:v>
      </x:c>
      <x:c r="K142" s="71" t="n">
        <x:v>1</x:v>
      </x:c>
      <x:c r="L142" s="71" t="str"/>
      <x:c r="M142" s="71" t="str"/>
      <x:c r="N142" s="71" t="str"/>
      <x:c r="O142" s="71" t="str"/>
      <x:c r="P142" s="71" t="str"/>
      <x:c r="Q142" s="71" t="str"/>
      <x:c r="R142" s="71" t="str"/>
      <x:c r="S142" s="71" t="str"/>
      <x:c r="T142" s="71" t="str"/>
      <x:c r="U142" s="71" t="str"/>
      <x:c r="V142" s="49" t="str">
        <x:v>Opalescent crystals that cast tiny star-shaped reflections. They taste sweet before turning sharply saline and smell of ozone, incense, and clean snow.</x:v>
      </x:c>
    </x:row>
    <x:row r="143">
      <x:c r="A143" s="48" t="str">
        <x:v>Core</x:v>
      </x:c>
      <x:c r="B143" s="71" t="str">
        <x:v>Mineral / Salt / Ash</x:v>
      </x:c>
      <x:c r="C143" s="71" t="str">
        <x:v>Very Rare</x:v>
      </x:c>
      <x:c r="D143" s="71" t="str">
        <x:v>Eternity Salt</x:v>
      </x:c>
      <x:c r="E143" s="71" t="n">
        <x:v>6</x:v>
      </x:c>
      <x:c r="F143" s="71" t="n">
        <x:v>0</x:v>
      </x:c>
      <x:c r="G143" s="71" t="n">
        <x:v>125</x:v>
      </x:c>
      <x:c r="H143" s="71" t="n">
        <x:v>0</x:v>
      </x:c>
      <x:c r="I143" s="71" t="n">
        <x:v>0</x:v>
      </x:c>
      <x:c r="J143" s="71" t="n">
        <x:v>0</x:v>
      </x:c>
      <x:c r="K143" s="71" t="n">
        <x:v>0</x:v>
      </x:c>
      <x:c r="L143" s="71" t="str"/>
      <x:c r="M143" s="71" t="str"/>
      <x:c r="N143" s="71" t="str"/>
      <x:c r="O143" s="71" t="str"/>
      <x:c r="P143" s="71" t="str"/>
      <x:c r="Q143" s="71" t="str"/>
      <x:c r="R143" s="71" t="str"/>
      <x:c r="S143" s="71" t="str"/>
      <x:c r="T143" s="71" t="str"/>
      <x:c r="U143" s="71" t="str"/>
      <x:c r="V143" s="49" t="str">
        <x:v>Large clear crystals with slow silver currents moving inside. They never dissolve completely and smell of deep caverns, winter air, and distant lightning.</x:v>
      </x:c>
    </x:row>
    <x:row r="144">
      <x:c r="A144" s="48" t="str">
        <x:v>Core</x:v>
      </x:c>
      <x:c r="B144" s="71" t="str">
        <x:v>Mineral / Salt / Ash</x:v>
      </x:c>
      <x:c r="C144" s="71" t="str">
        <x:v>Very Rare</x:v>
      </x:c>
      <x:c r="D144" s="71" t="str">
        <x:v>Prismatic Ash</x:v>
      </x:c>
      <x:c r="E144" s="71" t="n">
        <x:v>6</x:v>
      </x:c>
      <x:c r="F144" s="71" t="n">
        <x:v>0</x:v>
      </x:c>
      <x:c r="G144" s="71" t="n">
        <x:v>25</x:v>
      </x:c>
      <x:c r="H144" s="71" t="n">
        <x:v>0</x:v>
      </x:c>
      <x:c r="I144" s="71" t="n">
        <x:v>3</x:v>
      </x:c>
      <x:c r="J144" s="71" t="n">
        <x:v>0</x:v>
      </x:c>
      <x:c r="K144" s="71" t="n">
        <x:v>0</x:v>
      </x:c>
      <x:c r="L144" s="71" t="str"/>
      <x:c r="M144" s="71" t="str"/>
      <x:c r="N144" s="71" t="str"/>
      <x:c r="O144" s="71" t="str"/>
      <x:c r="P144" s="71" t="str"/>
      <x:c r="Q144" s="71" t="str"/>
      <x:c r="R144" s="71" t="str"/>
      <x:c r="S144" s="71" t="str"/>
      <x:c r="T144" s="71" t="str"/>
      <x:c r="U144" s="71" t="str"/>
      <x:c r="V144" s="49" t="str">
        <x:v>Color-shifting ash that separates into rainbow layers when shaken. It smells clean, dry, and impossibly bright.</x:v>
      </x:c>
    </x:row>
    <x:row r="145">
      <x:c r="A145" s="48" t="str">
        <x:v>Core</x:v>
      </x:c>
      <x:c r="B145" s="71" t="str">
        <x:v>Mineral / Salt / Ash</x:v>
      </x:c>
      <x:c r="C145" s="71" t="str">
        <x:v>Very Rare</x:v>
      </x:c>
      <x:c r="D145" s="71" t="str">
        <x:v>Starfall Salt</x:v>
      </x:c>
      <x:c r="E145" s="71" t="n">
        <x:v>6</x:v>
      </x:c>
      <x:c r="F145" s="71" t="n">
        <x:v>0</x:v>
      </x:c>
      <x:c r="G145" s="71" t="n">
        <x:v>75</x:v>
      </x:c>
      <x:c r="H145" s="71" t="n">
        <x:v>0</x:v>
      </x:c>
      <x:c r="I145" s="71" t="n">
        <x:v>0</x:v>
      </x:c>
      <x:c r="J145" s="71" t="n">
        <x:v>2</x:v>
      </x:c>
      <x:c r="K145" s="71" t="n">
        <x:v>0</x:v>
      </x:c>
      <x:c r="L145" s="71" t="str"/>
      <x:c r="M145" s="71" t="str">
        <x:v>Petrified</x:v>
      </x:c>
      <x:c r="N145" s="71" t="str">
        <x:v>Constitution</x:v>
      </x:c>
      <x:c r="O145" s="71" t="str">
        <x:v>1 minute</x:v>
      </x:c>
      <x:c r="P145" s="71" t="str">
        <x:v>end of each turn</x:v>
      </x:c>
      <x:c r="Q145" s="71" t="str">
        <x:v>Poisons, Bombs</x:v>
      </x:c>
      <x:c r="R145" s="71" t="str">
        <x:v>No budget cost</x:v>
      </x:c>
      <x:c r="S145" s="71" t="str"/>
      <x:c r="T145" s="71" t="str"/>
      <x:c r="U145" s="71" t="str"/>
      <x:c r="V145" s="49" t="str">
        <x:v>Blue-white salt crystals that glow faintly in darkness. They smell of winter air and lightning over stone.</x:v>
      </x:c>
    </x:row>
    <x:row r="146">
      <x:c r="A146" s="48" t="str">
        <x:v>Core</x:v>
      </x:c>
      <x:c r="B146" s="71" t="str">
        <x:v>Venom / Poison Plant</x:v>
      </x:c>
      <x:c r="C146" s="71" t="str">
        <x:v>Common</x:v>
      </x:c>
      <x:c r="D146" s="71" t="str">
        <x:v>Bitterleaf</x:v>
      </x:c>
      <x:c r="E146" s="71" t="n">
        <x:v>0</x:v>
      </x:c>
      <x:c r="F146" s="71" t="n">
        <x:v>25</x:v>
      </x:c>
      <x:c r="G146" s="71" t="n">
        <x:v>0</x:v>
      </x:c>
      <x:c r="H146" s="71" t="n">
        <x:v>0</x:v>
      </x:c>
      <x:c r="I146" s="71" t="n">
        <x:v>0</x:v>
      </x:c>
      <x:c r="J146" s="71" t="n">
        <x:v>0</x:v>
      </x:c>
      <x:c r="K146" s="71" t="n">
        <x:v>0</x:v>
      </x:c>
      <x:c r="L146" s="71" t="str"/>
      <x:c r="M146" s="71" t="str"/>
      <x:c r="N146" s="71" t="str"/>
      <x:c r="O146" s="71" t="str"/>
      <x:c r="P146" s="71" t="str"/>
      <x:c r="Q146" s="71" t="str"/>
      <x:c r="R146" s="71" t="str"/>
      <x:c r="S146" s="71" t="str"/>
      <x:c r="T146" s="71" t="str"/>
      <x:c r="U146" s="71" t="str"/>
      <x:c r="V146" s="49" t="str">
        <x:v>A dark green leaf with black veins and an acrid herbal bite. It smells bitter enough to sting the nose.</x:v>
      </x:c>
    </x:row>
    <x:row r="147">
      <x:c r="A147" s="48" t="str">
        <x:v>Core</x:v>
      </x:c>
      <x:c r="B147" s="71" t="str">
        <x:v>Venom / Poison Plant</x:v>
      </x:c>
      <x:c r="C147" s="71" t="str">
        <x:v>Common</x:v>
      </x:c>
      <x:c r="D147" s="71" t="str">
        <x:v>Bitterthorn Sap</x:v>
      </x:c>
      <x:c r="E147" s="71" t="n">
        <x:v>0</x:v>
      </x:c>
      <x:c r="F147" s="71" t="n">
        <x:v>25</x:v>
      </x:c>
      <x:c r="G147" s="71" t="n">
        <x:v>0</x:v>
      </x:c>
      <x:c r="H147" s="71" t="n">
        <x:v>0</x:v>
      </x:c>
      <x:c r="I147" s="71" t="n">
        <x:v>0</x:v>
      </x:c>
      <x:c r="J147" s="71" t="n">
        <x:v>0</x:v>
      </x:c>
      <x:c r="K147" s="71" t="n">
        <x:v>0</x:v>
      </x:c>
      <x:c r="L147" s="71" t="str"/>
      <x:c r="M147" s="71" t="str"/>
      <x:c r="N147" s="71" t="str"/>
      <x:c r="O147" s="71" t="str"/>
      <x:c r="P147" s="71" t="str"/>
      <x:c r="Q147" s="71" t="str"/>
      <x:c r="R147" s="71" t="str"/>
      <x:c r="S147" s="71" t="str"/>
      <x:c r="T147" s="71" t="str"/>
      <x:c r="U147" s="71" t="str"/>
      <x:c r="V147" s="49" t="str">
        <x:v>Milky green sap collected from hooked thorns. It is tacky, intensely bitter, and smells of grapefruit rind, crushed nettles, and copper.</x:v>
      </x:c>
    </x:row>
    <x:row r="148">
      <x:c r="A148" s="48" t="str">
        <x:v>Core</x:v>
      </x:c>
      <x:c r="B148" s="71" t="str">
        <x:v>Venom / Poison Plant</x:v>
      </x:c>
      <x:c r="C148" s="71" t="str">
        <x:v>Common</x:v>
      </x:c>
      <x:c r="D148" s="71" t="str">
        <x:v>Itchreed</x:v>
      </x:c>
      <x:c r="E148" s="71" t="n">
        <x:v>0</x:v>
      </x:c>
      <x:c r="F148" s="71" t="n">
        <x:v>0</x:v>
      </x:c>
      <x:c r="G148" s="71" t="n">
        <x:v>25</x:v>
      </x:c>
      <x:c r="H148" s="71" t="n">
        <x:v>0</x:v>
      </x:c>
      <x:c r="I148" s="71" t="n">
        <x:v>0</x:v>
      </x:c>
      <x:c r="J148" s="71" t="n">
        <x:v>0</x:v>
      </x:c>
      <x:c r="K148" s="71" t="n">
        <x:v>0</x:v>
      </x:c>
      <x:c r="L148" s="71" t="str"/>
      <x:c r="M148" s="71" t="str"/>
      <x:c r="N148" s="71" t="str"/>
      <x:c r="O148" s="71" t="str"/>
      <x:c r="P148" s="71" t="str"/>
      <x:c r="Q148" s="71" t="str"/>
      <x:c r="R148" s="71" t="str"/>
      <x:c r="S148" s="71" t="str"/>
      <x:c r="T148" s="71" t="str"/>
      <x:c r="U148" s="71" t="str"/>
      <x:c r="V148" s="49" t="str">
        <x:v>A yellow reed covered in nearly invisible hairs. It feels dry and papery, smells of cut hay and pepper, and raises an itchy welt on bare skin.</x:v>
      </x:c>
    </x:row>
    <x:row r="149">
      <x:c r="A149" s="48" t="str">
        <x:v>Core</x:v>
      </x:c>
      <x:c r="B149" s="71" t="str">
        <x:v>Venom / Poison Plant</x:v>
      </x:c>
      <x:c r="C149" s="71" t="str">
        <x:v>Common</x:v>
      </x:c>
      <x:c r="D149" s="71" t="str">
        <x:v>Sourbell</x:v>
      </x:c>
      <x:c r="E149" s="71" t="n">
        <x:v>0</x:v>
      </x:c>
      <x:c r="F149" s="71" t="n">
        <x:v>25</x:v>
      </x:c>
      <x:c r="G149" s="71" t="n">
        <x:v>0</x:v>
      </x:c>
      <x:c r="H149" s="71" t="n">
        <x:v>0</x:v>
      </x:c>
      <x:c r="I149" s="71" t="n">
        <x:v>0</x:v>
      </x:c>
      <x:c r="J149" s="71" t="n">
        <x:v>0</x:v>
      </x:c>
      <x:c r="K149" s="71" t="n">
        <x:v>0</x:v>
      </x:c>
      <x:c r="L149" s="71" t="str"/>
      <x:c r="M149" s="71" t="str"/>
      <x:c r="N149" s="71" t="str"/>
      <x:c r="O149" s="71" t="str"/>
      <x:c r="P149" s="71" t="str"/>
      <x:c r="Q149" s="71" t="str"/>
      <x:c r="R149" s="71" t="str"/>
      <x:c r="S149" s="71" t="str"/>
      <x:c r="T149" s="71" t="str"/>
      <x:c r="U149" s="71" t="str"/>
      <x:c r="V149" s="49" t="str">
        <x:v>A drooping yellow-green flower with a swollen bell full of cloudy nectar. It smells sharply of vinegar, citrus rind, and bruised weeds.</x:v>
      </x:c>
    </x:row>
    <x:row r="150">
      <x:c r="A150" s="48" t="str">
        <x:v>Core</x:v>
      </x:c>
      <x:c r="B150" s="71" t="str">
        <x:v>Venom / Poison Plant</x:v>
      </x:c>
      <x:c r="C150" s="71" t="str">
        <x:v>Common</x:v>
      </x:c>
      <x:c r="D150" s="71" t="str">
        <x:v>Stingnettle</x:v>
      </x:c>
      <x:c r="E150" s="71" t="n">
        <x:v>0</x:v>
      </x:c>
      <x:c r="F150" s="71" t="n">
        <x:v>0</x:v>
      </x:c>
      <x:c r="G150" s="71" t="n">
        <x:v>25</x:v>
      </x:c>
      <x:c r="H150" s="71" t="n">
        <x:v>0</x:v>
      </x:c>
      <x:c r="I150" s="71" t="n">
        <x:v>0</x:v>
      </x:c>
      <x:c r="J150" s="71" t="n">
        <x:v>0</x:v>
      </x:c>
      <x:c r="K150" s="71" t="n">
        <x:v>0</x:v>
      </x:c>
      <x:c r="L150" s="71" t="str"/>
      <x:c r="M150" s="71" t="str"/>
      <x:c r="N150" s="71" t="str"/>
      <x:c r="O150" s="71" t="str"/>
      <x:c r="P150" s="71" t="str"/>
      <x:c r="Q150" s="71" t="str"/>
      <x:c r="R150" s="71" t="str"/>
      <x:c r="S150" s="71" t="str"/>
      <x:c r="T150" s="71" t="str"/>
      <x:c r="U150" s="71" t="str"/>
      <x:c r="V150" s="49" t="str">
        <x:v>A low dark nettle covered in nearly invisible glass hairs. Brushing it leaves a hot numbness, and it smells of pepper, green sap, and copper.</x:v>
      </x:c>
    </x:row>
    <x:row r="151">
      <x:c r="A151" s="48" t="str">
        <x:v>Core</x:v>
      </x:c>
      <x:c r="B151" s="71" t="str">
        <x:v>Venom / Poison Plant</x:v>
      </x:c>
      <x:c r="C151" s="71" t="str">
        <x:v>Uncommon</x:v>
      </x:c>
      <x:c r="D151" s="71" t="str">
        <x:v>Ashfang Leaf</x:v>
      </x:c>
      <x:c r="E151" s="71" t="n">
        <x:v>2</x:v>
      </x:c>
      <x:c r="F151" s="71" t="n">
        <x:v>25</x:v>
      </x:c>
      <x:c r="G151" s="71" t="n">
        <x:v>50</x:v>
      </x:c>
      <x:c r="H151" s="71" t="n">
        <x:v>0</x:v>
      </x:c>
      <x:c r="I151" s="71" t="n">
        <x:v>0</x:v>
      </x:c>
      <x:c r="J151" s="71" t="n">
        <x:v>0</x:v>
      </x:c>
      <x:c r="K151" s="71" t="n">
        <x:v>0</x:v>
      </x:c>
      <x:c r="L151" s="71" t="str"/>
      <x:c r="M151" s="71" t="str"/>
      <x:c r="N151" s="71" t="str"/>
      <x:c r="O151" s="71" t="str"/>
      <x:c r="P151" s="71" t="str"/>
      <x:c r="Q151" s="71" t="str"/>
      <x:c r="R151" s="71" t="str"/>
      <x:c r="S151" s="71" t="str"/>
      <x:c r="T151" s="71" t="str"/>
      <x:c r="U151" s="71" t="str"/>
      <x:c r="V151" s="49" t="str">
        <x:v>A serrated gray leaf with black veins and a dry leathery feel. It smells of burnt tea and metal, leaving a sharp numbness on the tongue.</x:v>
      </x:c>
    </x:row>
    <x:row r="152">
      <x:c r="A152" s="48" t="str">
        <x:v>Core</x:v>
      </x:c>
      <x:c r="B152" s="71" t="str">
        <x:v>Venom / Poison Plant</x:v>
      </x:c>
      <x:c r="C152" s="71" t="str">
        <x:v>Uncommon</x:v>
      </x:c>
      <x:c r="D152" s="71" t="str">
        <x:v>Drowsevine</x:v>
      </x:c>
      <x:c r="E152" s="71" t="n">
        <x:v>2</x:v>
      </x:c>
      <x:c r="F152" s="71" t="n">
        <x:v>50</x:v>
      </x:c>
      <x:c r="G152" s="71" t="n">
        <x:v>25</x:v>
      </x:c>
      <x:c r="H152" s="71" t="n">
        <x:v>0</x:v>
      </x:c>
      <x:c r="I152" s="71" t="n">
        <x:v>0</x:v>
      </x:c>
      <x:c r="J152" s="71" t="n">
        <x:v>0</x:v>
      </x:c>
      <x:c r="K152" s="71" t="n">
        <x:v>0</x:v>
      </x:c>
      <x:c r="L152" s="71" t="str"/>
      <x:c r="M152" s="71" t="str"/>
      <x:c r="N152" s="71" t="str"/>
      <x:c r="O152" s="71" t="str"/>
      <x:c r="P152" s="71" t="str"/>
      <x:c r="Q152" s="71" t="str"/>
      <x:c r="R152" s="71" t="str"/>
      <x:c r="S152" s="71" t="str"/>
      <x:c r="T152" s="71" t="str"/>
      <x:c r="U152" s="71" t="str"/>
      <x:c r="V152" s="49" t="str">
        <x:v>A purple vine with soft fuzzy leaves that curl around warm objects. Its scent is sweet and heavy, like overripe berries and poppy smoke.</x:v>
      </x:c>
    </x:row>
    <x:row r="153">
      <x:c r="A153" s="48" t="str">
        <x:v>Core</x:v>
      </x:c>
      <x:c r="B153" s="71" t="str">
        <x:v>Venom / Poison Plant</x:v>
      </x:c>
      <x:c r="C153" s="71" t="str">
        <x:v>Uncommon</x:v>
      </x:c>
      <x:c r="D153" s="71" t="str">
        <x:v>Sleepnettle</x:v>
      </x:c>
      <x:c r="E153" s="71" t="n">
        <x:v>2</x:v>
      </x:c>
      <x:c r="F153" s="71" t="n">
        <x:v>0</x:v>
      </x:c>
      <x:c r="G153" s="71" t="n">
        <x:v>25</x:v>
      </x:c>
      <x:c r="H153" s="71" t="n">
        <x:v>0</x:v>
      </x:c>
      <x:c r="I153" s="71" t="n">
        <x:v>0</x:v>
      </x:c>
      <x:c r="J153" s="71" t="n">
        <x:v>1</x:v>
      </x:c>
      <x:c r="K153" s="71" t="n">
        <x:v>0</x:v>
      </x:c>
      <x:c r="L153" s="71" t="str"/>
      <x:c r="M153" s="71" t="str"/>
      <x:c r="N153" s="71" t="str"/>
      <x:c r="O153" s="71" t="str"/>
      <x:c r="P153" s="71" t="str"/>
      <x:c r="Q153" s="71" t="str"/>
      <x:c r="R153" s="71" t="str"/>
      <x:c r="S153" s="71" t="str"/>
      <x:c r="T153" s="71" t="str"/>
      <x:c r="U153" s="71" t="str"/>
      <x:c r="V153" s="49" t="str">
        <x:v>A soft violet nettle whose hairs droop at dusk. It smells of lavender and sour grass, and contact leaves the fingers heavy and slow.</x:v>
      </x:c>
    </x:row>
    <x:row r="154">
      <x:c r="A154" s="48" t="str">
        <x:v>Core</x:v>
      </x:c>
      <x:c r="B154" s="71" t="str">
        <x:v>Venom / Poison Plant</x:v>
      </x:c>
      <x:c r="C154" s="71" t="str">
        <x:v>Uncommon</x:v>
      </x:c>
      <x:c r="D154" s="71" t="str">
        <x:v>Venomkiss Nettle</x:v>
      </x:c>
      <x:c r="E154" s="71" t="n">
        <x:v>2</x:v>
      </x:c>
      <x:c r="F154" s="71" t="n">
        <x:v>75</x:v>
      </x:c>
      <x:c r="G154" s="71" t="n">
        <x:v>0</x:v>
      </x:c>
      <x:c r="H154" s="71" t="n">
        <x:v>0</x:v>
      </x:c>
      <x:c r="I154" s="71" t="n">
        <x:v>0</x:v>
      </x:c>
      <x:c r="J154" s="71" t="n">
        <x:v>0</x:v>
      </x:c>
      <x:c r="K154" s="71" t="n">
        <x:v>0</x:v>
      </x:c>
      <x:c r="L154" s="71" t="str"/>
      <x:c r="M154" s="71" t="str"/>
      <x:c r="N154" s="71" t="str"/>
      <x:c r="O154" s="71" t="str"/>
      <x:c r="P154" s="71" t="str"/>
      <x:c r="Q154" s="71" t="str"/>
      <x:c r="R154" s="71" t="str"/>
      <x:c r="S154" s="71" t="str"/>
      <x:c r="T154" s="71" t="str"/>
      <x:c r="U154" s="71" t="str"/>
      <x:c r="V154" s="49" t="str">
        <x:v>A nettle with red hairs that twitch when warmed. It smells of crushed greens, pepper, and venom sacs.</x:v>
      </x:c>
    </x:row>
    <x:row r="155">
      <x:c r="A155" s="48" t="str">
        <x:v>Core</x:v>
      </x:c>
      <x:c r="B155" s="71" t="str">
        <x:v>Venom / Poison Plant</x:v>
      </x:c>
      <x:c r="C155" s="71" t="str">
        <x:v>Uncommon</x:v>
      </x:c>
      <x:c r="D155" s="71" t="str">
        <x:v>Widowshade</x:v>
      </x:c>
      <x:c r="E155" s="71" t="n">
        <x:v>2</x:v>
      </x:c>
      <x:c r="F155" s="71" t="n">
        <x:v>25</x:v>
      </x:c>
      <x:c r="G155" s="71" t="n">
        <x:v>0</x:v>
      </x:c>
      <x:c r="H155" s="71" t="n">
        <x:v>0</x:v>
      </x:c>
      <x:c r="I155" s="71" t="n">
        <x:v>0</x:v>
      </x:c>
      <x:c r="J155" s="71" t="n">
        <x:v>1</x:v>
      </x:c>
      <x:c r="K155" s="71" t="n">
        <x:v>0</x:v>
      </x:c>
      <x:c r="L155" s="71" t="str"/>
      <x:c r="M155" s="71" t="str"/>
      <x:c r="N155" s="71" t="str"/>
      <x:c r="O155" s="71" t="str"/>
      <x:c r="P155" s="71" t="str"/>
      <x:c r="Q155" s="71" t="str"/>
      <x:c r="R155" s="71" t="str"/>
      <x:c r="S155" s="71" t="str"/>
      <x:c r="T155" s="71" t="str"/>
      <x:c r="U155" s="71" t="str"/>
      <x:c r="V155" s="49" t="str">
        <x:v>A drooping purple-black sprig with glossy leaves. Its scent is sweet at first, then metallic and cold.</x:v>
      </x:c>
    </x:row>
    <x:row r="156">
      <x:c r="A156" s="48" t="str">
        <x:v>Core</x:v>
      </x:c>
      <x:c r="B156" s="71" t="str">
        <x:v>Venom / Poison Plant</x:v>
      </x:c>
      <x:c r="C156" s="71" t="str">
        <x:v>Rare</x:v>
      </x:c>
      <x:c r="D156" s="71" t="str">
        <x:v>Longsting Root</x:v>
      </x:c>
      <x:c r="E156" s="71" t="n">
        <x:v>4</x:v>
      </x:c>
      <x:c r="F156" s="71" t="n">
        <x:v>50</x:v>
      </x:c>
      <x:c r="G156" s="71" t="n">
        <x:v>50</x:v>
      </x:c>
      <x:c r="H156" s="71" t="n">
        <x:v>0</x:v>
      </x:c>
      <x:c r="I156" s="71" t="n">
        <x:v>0</x:v>
      </x:c>
      <x:c r="J156" s="71" t="n">
        <x:v>0</x:v>
      </x:c>
      <x:c r="K156" s="71" t="n">
        <x:v>0</x:v>
      </x:c>
      <x:c r="L156" s="71" t="str"/>
      <x:c r="M156" s="71" t="str"/>
      <x:c r="N156" s="71" t="str"/>
      <x:c r="O156" s="71" t="str"/>
      <x:c r="P156" s="71" t="str"/>
      <x:c r="Q156" s="71" t="str"/>
      <x:c r="R156" s="71" t="str"/>
      <x:c r="S156" s="71" t="str"/>
      <x:c r="T156" s="71" t="str"/>
      <x:c r="U156" s="71" t="str"/>
      <x:c r="V156" s="49" t="str">
        <x:v>A narrow black root with a bright white core that numbs the knife used to cut it. It smells of licorice, wet iron, and bitter medicine.</x:v>
      </x:c>
    </x:row>
    <x:row r="157">
      <x:c r="A157" s="48" t="str">
        <x:v>Core</x:v>
      </x:c>
      <x:c r="B157" s="71" t="str">
        <x:v>Venom / Poison Plant</x:v>
      </x:c>
      <x:c r="C157" s="71" t="str">
        <x:v>Rare</x:v>
      </x:c>
      <x:c r="D157" s="71" t="str">
        <x:v>Nightfang Cap</x:v>
      </x:c>
      <x:c r="E157" s="71" t="n">
        <x:v>4</x:v>
      </x:c>
      <x:c r="F157" s="71" t="n">
        <x:v>0</x:v>
      </x:c>
      <x:c r="G157" s="71" t="n">
        <x:v>0</x:v>
      </x:c>
      <x:c r="H157" s="71" t="n">
        <x:v>0</x:v>
      </x:c>
      <x:c r="I157" s="71" t="n">
        <x:v>0</x:v>
      </x:c>
      <x:c r="J157" s="71" t="n">
        <x:v>0</x:v>
      </x:c>
      <x:c r="K157" s="71" t="n">
        <x:v>1</x:v>
      </x:c>
      <x:c r="L157" s="71" t="str"/>
      <x:c r="M157" s="71" t="str">
        <x:v>Poisoned</x:v>
      </x:c>
      <x:c r="N157" s="71" t="str">
        <x:v>Constitution</x:v>
      </x:c>
      <x:c r="O157" s="71" t="str">
        <x:v>1 minute</x:v>
      </x:c>
      <x:c r="P157" s="71" t="str">
        <x:v>end of each turn</x:v>
      </x:c>
      <x:c r="Q157" s="71" t="str">
        <x:v>Poisons, Bombs</x:v>
      </x:c>
      <x:c r="R157" s="71" t="str">
        <x:v>No budget cost</x:v>
      </x:c>
      <x:c r="S157" s="71" t="str"/>
      <x:c r="T157" s="71" t="str"/>
      <x:c r="U157" s="71" t="str"/>
      <x:c r="V157" s="49" t="str">
        <x:v>A black mushroom cap with toothlike white ridges underneath. It smells of damp leather and sour metal.</x:v>
      </x:c>
    </x:row>
    <x:row r="158">
      <x:c r="A158" s="48" t="str">
        <x:v>Core</x:v>
      </x:c>
      <x:c r="B158" s="71" t="str">
        <x:v>Venom / Poison Plant</x:v>
      </x:c>
      <x:c r="C158" s="71" t="str">
        <x:v>Rare</x:v>
      </x:c>
      <x:c r="D158" s="71" t="str">
        <x:v>Purple Ichor Bloom</x:v>
      </x:c>
      <x:c r="E158" s="71" t="n">
        <x:v>4</x:v>
      </x:c>
      <x:c r="F158" s="71" t="n">
        <x:v>100</x:v>
      </x:c>
      <x:c r="G158" s="71" t="n">
        <x:v>0</x:v>
      </x:c>
      <x:c r="H158" s="71" t="n">
        <x:v>0</x:v>
      </x:c>
      <x:c r="I158" s="71" t="n">
        <x:v>0</x:v>
      </x:c>
      <x:c r="J158" s="71" t="n">
        <x:v>0</x:v>
      </x:c>
      <x:c r="K158" s="71" t="n">
        <x:v>0</x:v>
      </x:c>
      <x:c r="L158" s="71" t="str"/>
      <x:c r="M158" s="71" t="str"/>
      <x:c r="N158" s="71" t="str"/>
      <x:c r="O158" s="71" t="str"/>
      <x:c r="P158" s="71" t="str"/>
      <x:c r="Q158" s="71" t="str"/>
      <x:c r="R158" s="71" t="str"/>
      <x:c r="S158" s="71" t="str"/>
      <x:c r="T158" s="71" t="str"/>
      <x:c r="U158" s="71" t="str"/>
      <x:c r="V158" s="49" t="str">
        <x:v>A bruised purple flower that seeps dark nectar. It smells sweet, rotten, and alchemically sharp.</x:v>
      </x:c>
    </x:row>
    <x:row r="159">
      <x:c r="A159" s="48" t="str">
        <x:v>Core</x:v>
      </x:c>
      <x:c r="B159" s="71" t="str">
        <x:v>Venom / Poison Plant</x:v>
      </x:c>
      <x:c r="C159" s="71" t="str">
        <x:v>Rare</x:v>
      </x:c>
      <x:c r="D159" s="71" t="str">
        <x:v>Widow's Crown Bloom</x:v>
      </x:c>
      <x:c r="E159" s="71" t="n">
        <x:v>4</x:v>
      </x:c>
      <x:c r="F159" s="71" t="n">
        <x:v>0</x:v>
      </x:c>
      <x:c r="G159" s="71" t="n">
        <x:v>50</x:v>
      </x:c>
      <x:c r="H159" s="71" t="n">
        <x:v>0</x:v>
      </x:c>
      <x:c r="I159" s="71" t="n">
        <x:v>0</x:v>
      </x:c>
      <x:c r="J159" s="71" t="n">
        <x:v>1</x:v>
      </x:c>
      <x:c r="K159" s="71" t="n">
        <x:v>0</x:v>
      </x:c>
      <x:c r="L159" s="71" t="str"/>
      <x:c r="M159" s="71" t="str"/>
      <x:c r="N159" s="71" t="str"/>
      <x:c r="O159" s="71" t="str"/>
      <x:c r="P159" s="71" t="str"/>
      <x:c r="Q159" s="71" t="str"/>
      <x:c r="R159" s="71" t="str"/>
      <x:c r="S159" s="71" t="str"/>
      <x:c r="T159" s="71" t="str"/>
      <x:c r="U159" s="71" t="str"/>
      <x:c r="V159" s="49" t="str">
        <x:v>A black flower ringed by crimson hook-shaped petals. It smells of overripe fruit and iron, and its sticky pollen makes the pulse flutter.</x:v>
      </x:c>
    </x:row>
    <x:row r="160">
      <x:c r="A160" s="48" t="str">
        <x:v>Core</x:v>
      </x:c>
      <x:c r="B160" s="71" t="str">
        <x:v>Venom / Poison Plant</x:v>
      </x:c>
      <x:c r="C160" s="71" t="str">
        <x:v>Very Rare</x:v>
      </x:c>
      <x:c r="D160" s="71" t="str">
        <x:v>Black Lotus Venom</x:v>
      </x:c>
      <x:c r="E160" s="71" t="n">
        <x:v>6</x:v>
      </x:c>
      <x:c r="F160" s="71" t="n">
        <x:v>125</x:v>
      </x:c>
      <x:c r="G160" s="71" t="n">
        <x:v>0</x:v>
      </x:c>
      <x:c r="H160" s="71" t="n">
        <x:v>0</x:v>
      </x:c>
      <x:c r="I160" s="71" t="n">
        <x:v>0</x:v>
      </x:c>
      <x:c r="J160" s="71" t="n">
        <x:v>0</x:v>
      </x:c>
      <x:c r="K160" s="71" t="n">
        <x:v>0</x:v>
      </x:c>
      <x:c r="L160" s="71" t="str"/>
      <x:c r="M160" s="71" t="str"/>
      <x:c r="N160" s="71" t="str"/>
      <x:c r="O160" s="71" t="str"/>
      <x:c r="P160" s="71" t="str"/>
      <x:c r="Q160" s="71" t="str"/>
      <x:c r="R160" s="71" t="str"/>
      <x:c r="S160" s="71" t="str"/>
      <x:c r="T160" s="71" t="str"/>
      <x:c r="U160" s="71" t="str"/>
      <x:c r="V160" s="49" t="str">
        <x:v>A black lotus distillate in thick glossy drops. It smells floral, poisonous, and almost hypnotic.</x:v>
      </x:c>
    </x:row>
    <x:row r="161">
      <x:c r="A161" s="48" t="str">
        <x:v>Core</x:v>
      </x:c>
      <x:c r="B161" s="71" t="str">
        <x:v>Venom / Poison Plant</x:v>
      </x:c>
      <x:c r="C161" s="71" t="str">
        <x:v>Very Rare</x:v>
      </x:c>
      <x:c r="D161" s="71" t="str">
        <x:v>Medusa Orchid</x:v>
      </x:c>
      <x:c r="E161" s="71" t="n">
        <x:v>6</x:v>
      </x:c>
      <x:c r="F161" s="71" t="n">
        <x:v>25</x:v>
      </x:c>
      <x:c r="G161" s="71" t="n">
        <x:v>0</x:v>
      </x:c>
      <x:c r="H161" s="71" t="n">
        <x:v>0</x:v>
      </x:c>
      <x:c r="I161" s="71" t="n">
        <x:v>0</x:v>
      </x:c>
      <x:c r="J161" s="71" t="n">
        <x:v>3</x:v>
      </x:c>
      <x:c r="K161" s="71" t="n">
        <x:v>0</x:v>
      </x:c>
      <x:c r="L161" s="71" t="str"/>
      <x:c r="M161" s="71" t="str"/>
      <x:c r="N161" s="71" t="str"/>
      <x:c r="O161" s="71" t="str"/>
      <x:c r="P161" s="71" t="str"/>
      <x:c r="Q161" s="71" t="str"/>
      <x:c r="R161" s="71" t="str"/>
      <x:c r="S161" s="71" t="str"/>
      <x:c r="T161" s="71" t="str"/>
      <x:c r="U161" s="71" t="str"/>
      <x:c r="V161" s="49" t="str">
        <x:v>A green-gold orchid whose petals resemble tiny coiling serpents. It feels cold and waxy, smells of stone dust and bitter perfume, and stiffens insects that touch its nectar.</x:v>
      </x:c>
    </x:row>
    <x:row r="162">
      <x:c r="A162" s="48" t="str">
        <x:v>Core</x:v>
      </x:c>
      <x:c r="B162" s="71" t="str">
        <x:v>Venom / Poison Plant</x:v>
      </x:c>
      <x:c r="C162" s="71" t="str">
        <x:v>Very Rare</x:v>
      </x:c>
      <x:c r="D162" s="71" t="str">
        <x:v>Queen Asp Bloom</x:v>
      </x:c>
      <x:c r="E162" s="71" t="n">
        <x:v>6</x:v>
      </x:c>
      <x:c r="F162" s="71" t="n">
        <x:v>25</x:v>
      </x:c>
      <x:c r="G162" s="71" t="n">
        <x:v>0</x:v>
      </x:c>
      <x:c r="H162" s="71" t="n">
        <x:v>0</x:v>
      </x:c>
      <x:c r="I162" s="71" t="n">
        <x:v>0</x:v>
      </x:c>
      <x:c r="J162" s="71" t="n">
        <x:v>0</x:v>
      </x:c>
      <x:c r="K162" s="71" t="n">
        <x:v>1</x:v>
      </x:c>
      <x:c r="L162" s="71" t="str"/>
      <x:c r="M162" s="71" t="str"/>
      <x:c r="N162" s="71" t="str"/>
      <x:c r="O162" s="71" t="str"/>
      <x:c r="P162" s="71" t="str"/>
      <x:c r="Q162" s="71" t="str"/>
      <x:c r="R162" s="71" t="str"/>
      <x:c r="S162" s="71" t="str"/>
      <x:c r="T162" s="71" t="str"/>
      <x:c r="U162" s="71" t="str"/>
      <x:c r="V162" s="49" t="str">
        <x:v>A black-and-gold flower whose central petals resemble a coiled serpent. Its pollen prickles the skin and smells of jasmine, venom, and hot stone.</x:v>
      </x:c>
    </x:row>
    <x:row r="163">
      <x:c r="A163" s="48" t="str">
        <x:v>Core</x:v>
      </x:c>
      <x:c r="B163" s="71" t="str">
        <x:v>Venom / Poison Plant</x:v>
      </x:c>
      <x:c r="C163" s="71" t="str">
        <x:v>Very Rare</x:v>
      </x:c>
      <x:c r="D163" s="71" t="str">
        <x:v>Wormwood Queen</x:v>
      </x:c>
      <x:c r="E163" s="71" t="n">
        <x:v>6</x:v>
      </x:c>
      <x:c r="F163" s="71" t="n">
        <x:v>75</x:v>
      </x:c>
      <x:c r="G163" s="71" t="n">
        <x:v>0</x:v>
      </x:c>
      <x:c r="H163" s="71" t="n">
        <x:v>0</x:v>
      </x:c>
      <x:c r="I163" s="71" t="n">
        <x:v>0</x:v>
      </x:c>
      <x:c r="J163" s="71" t="n">
        <x:v>2</x:v>
      </x:c>
      <x:c r="K163" s="71" t="n">
        <x:v>0</x:v>
      </x:c>
      <x:c r="L163" s="71" t="str"/>
      <x:c r="M163" s="71" t="str"/>
      <x:c r="N163" s="71" t="str"/>
      <x:c r="O163" s="71" t="str"/>
      <x:c r="P163" s="71" t="str"/>
      <x:c r="Q163" s="71" t="str"/>
      <x:c r="R163" s="71" t="str"/>
      <x:c r="S163" s="71" t="str"/>
      <x:c r="T163" s="71" t="str"/>
      <x:c r="U163" s="71" t="str"/>
      <x:c r="V163" s="49" t="str">
        <x:v>A tall silver-green wormwood crown with bitter pollen. It smells medicinal, royal, and dangerously clean.</x:v>
      </x:c>
    </x:row>
    <x:row r="164">
      <x:c r="A164" s="48" t="str">
        <x:v>Fourth Slot</x:v>
      </x:c>
      <x:c r="B164" s="71" t="str">
        <x:v>Essence</x:v>
      </x:c>
      <x:c r="C164" s="71" t="str">
        <x:v>Uncommon</x:v>
      </x:c>
      <x:c r="D164" s="71" t="str">
        <x:v>Acidic Essence</x:v>
      </x:c>
      <x:c r="E164" s="71" t="n">
        <x:v>0</x:v>
      </x:c>
      <x:c r="F164" s="71" t="n">
        <x:v>0</x:v>
      </x:c>
      <x:c r="G164" s="71" t="n">
        <x:v>0</x:v>
      </x:c>
      <x:c r="H164" s="71" t="n">
        <x:v>0</x:v>
      </x:c>
      <x:c r="I164" s="71" t="n">
        <x:v>0</x:v>
      </x:c>
      <x:c r="J164" s="71" t="n">
        <x:v>0</x:v>
      </x:c>
      <x:c r="K164" s="71" t="n">
        <x:v>0</x:v>
      </x:c>
      <x:c r="L164" s="71" t="str">
        <x:v>acid</x:v>
      </x:c>
      <x:c r="M164" s="71" t="str"/>
      <x:c r="N164" s="71" t="str"/>
      <x:c r="O164" s="71" t="str"/>
      <x:c r="P164" s="71" t="str"/>
      <x:c r="Q164" s="71" t="str"/>
      <x:c r="R164" s="71" t="str"/>
      <x:c r="S164" s="71" t="str"/>
      <x:c r="T164" s="71" t="str"/>
      <x:c r="U164" s="71" t="str"/>
      <x:c r="V164" s="49" t="str">
        <x:v>A yellow-green essence that etches faint rings in cheap glass. It smells sour, sharp, and mineral.</x:v>
      </x:c>
    </x:row>
    <x:row r="165">
      <x:c r="A165" s="48" t="str">
        <x:v>Fourth Slot</x:v>
      </x:c>
      <x:c r="B165" s="71" t="str">
        <x:v>Essence</x:v>
      </x:c>
      <x:c r="C165" s="71" t="str">
        <x:v>Uncommon</x:v>
      </x:c>
      <x:c r="D165" s="71" t="str">
        <x:v>Fire Essence</x:v>
      </x:c>
      <x:c r="E165" s="71" t="n">
        <x:v>0</x:v>
      </x:c>
      <x:c r="F165" s="71" t="n">
        <x:v>0</x:v>
      </x:c>
      <x:c r="G165" s="71" t="n">
        <x:v>0</x:v>
      </x:c>
      <x:c r="H165" s="71" t="n">
        <x:v>0</x:v>
      </x:c>
      <x:c r="I165" s="71" t="n">
        <x:v>0</x:v>
      </x:c>
      <x:c r="J165" s="71" t="n">
        <x:v>0</x:v>
      </x:c>
      <x:c r="K165" s="71" t="n">
        <x:v>0</x:v>
      </x:c>
      <x:c r="L165" s="71" t="str">
        <x:v>fire</x:v>
      </x:c>
      <x:c r="M165" s="71" t="str"/>
      <x:c r="N165" s="71" t="str"/>
      <x:c r="O165" s="71" t="str"/>
      <x:c r="P165" s="71" t="str"/>
      <x:c r="Q165" s="71" t="str"/>
      <x:c r="R165" s="71" t="str"/>
      <x:c r="S165" s="71" t="str"/>
      <x:c r="T165" s="71" t="str"/>
      <x:c r="U165" s="71" t="str"/>
      <x:c r="V165" s="49" t="str">
        <x:v>A red-orange essence that flickers inside the vial like a banked coal. It smells of hot iron, ash, and pepper smoke.</x:v>
      </x:c>
    </x:row>
    <x:row r="166">
      <x:c r="A166" s="48" t="str">
        <x:v>Fourth Slot</x:v>
      </x:c>
      <x:c r="B166" s="71" t="str">
        <x:v>Essence</x:v>
      </x:c>
      <x:c r="C166" s="71" t="str">
        <x:v>Uncommon</x:v>
      </x:c>
      <x:c r="D166" s="71" t="str">
        <x:v>Frost Essence</x:v>
      </x:c>
      <x:c r="E166" s="71" t="n">
        <x:v>0</x:v>
      </x:c>
      <x:c r="F166" s="71" t="n">
        <x:v>0</x:v>
      </x:c>
      <x:c r="G166" s="71" t="n">
        <x:v>0</x:v>
      </x:c>
      <x:c r="H166" s="71" t="n">
        <x:v>0</x:v>
      </x:c>
      <x:c r="I166" s="71" t="n">
        <x:v>0</x:v>
      </x:c>
      <x:c r="J166" s="71" t="n">
        <x:v>0</x:v>
      </x:c>
      <x:c r="K166" s="71" t="n">
        <x:v>0</x:v>
      </x:c>
      <x:c r="L166" s="71" t="str">
        <x:v>cold</x:v>
      </x:c>
      <x:c r="M166" s="71" t="str"/>
      <x:c r="N166" s="71" t="str"/>
      <x:c r="O166" s="71" t="str"/>
      <x:c r="P166" s="71" t="str"/>
      <x:c r="Q166" s="71" t="str"/>
      <x:c r="R166" s="71" t="str"/>
      <x:c r="S166" s="71" t="str"/>
      <x:c r="T166" s="71" t="str"/>
      <x:c r="U166" s="71" t="str"/>
      <x:c r="V166" s="49" t="str">
        <x:v>A pale blue essence rimed with frost even in summer. The glass sweats cold and smells of snow and mint.</x:v>
      </x:c>
    </x:row>
    <x:row r="167">
      <x:c r="A167" s="48" t="str">
        <x:v>Fourth Slot</x:v>
      </x:c>
      <x:c r="B167" s="71" t="str">
        <x:v>Essence</x:v>
      </x:c>
      <x:c r="C167" s="71" t="str">
        <x:v>Rare</x:v>
      </x:c>
      <x:c r="D167" s="71" t="str">
        <x:v>Grave Essence</x:v>
      </x:c>
      <x:c r="E167" s="71" t="n">
        <x:v>0</x:v>
      </x:c>
      <x:c r="F167" s="71" t="n">
        <x:v>0</x:v>
      </x:c>
      <x:c r="G167" s="71" t="n">
        <x:v>0</x:v>
      </x:c>
      <x:c r="H167" s="71" t="n">
        <x:v>0</x:v>
      </x:c>
      <x:c r="I167" s="71" t="n">
        <x:v>0</x:v>
      </x:c>
      <x:c r="J167" s="71" t="n">
        <x:v>1</x:v>
      </x:c>
      <x:c r="K167" s="71" t="n">
        <x:v>0</x:v>
      </x:c>
      <x:c r="L167" s="71" t="str">
        <x:v>necrotic</x:v>
      </x:c>
      <x:c r="M167" s="71" t="str"/>
      <x:c r="N167" s="71" t="str"/>
      <x:c r="O167" s="71" t="str"/>
      <x:c r="P167" s="71" t="str"/>
      <x:c r="Q167" s="71" t="str"/>
      <x:c r="R167" s="71" t="str"/>
      <x:c r="S167" s="71" t="str"/>
      <x:c r="T167" s="71" t="str"/>
      <x:c r="U167" s="71" t="str"/>
      <x:c r="V167" s="49" t="str">
        <x:v>A smoky gray essence that sinks to the bottom of any mixture. It smells of cold stone and spent incense.</x:v>
      </x:c>
    </x:row>
    <x:row r="168">
      <x:c r="A168" s="48" t="str">
        <x:v>Fourth Slot</x:v>
      </x:c>
      <x:c r="B168" s="71" t="str">
        <x:v>Essence</x:v>
      </x:c>
      <x:c r="C168" s="71" t="str">
        <x:v>Rare</x:v>
      </x:c>
      <x:c r="D168" s="71" t="str">
        <x:v>Mindshard Distillate</x:v>
      </x:c>
      <x:c r="E168" s="71" t="n">
        <x:v>0</x:v>
      </x:c>
      <x:c r="F168" s="71" t="n">
        <x:v>0</x:v>
      </x:c>
      <x:c r="G168" s="71" t="n">
        <x:v>0</x:v>
      </x:c>
      <x:c r="H168" s="71" t="n">
        <x:v>0</x:v>
      </x:c>
      <x:c r="I168" s="71" t="n">
        <x:v>0</x:v>
      </x:c>
      <x:c r="J168" s="71" t="n">
        <x:v>1</x:v>
      </x:c>
      <x:c r="K168" s="71" t="n">
        <x:v>0</x:v>
      </x:c>
      <x:c r="L168" s="71" t="str">
        <x:v>psychic</x:v>
      </x:c>
      <x:c r="M168" s="71" t="str">
        <x:v>Confused</x:v>
      </x:c>
      <x:c r="N168" s="71" t="str">
        <x:v>Wisdom</x:v>
      </x:c>
      <x:c r="O168" s="71" t="str">
        <x:v>1 minute</x:v>
      </x:c>
      <x:c r="P168" s="71" t="str">
        <x:v>end of each turn</x:v>
      </x:c>
      <x:c r="Q168" s="71" t="str"/>
      <x:c r="R168" s="71" t="str"/>
      <x:c r="S168" s="71" t="str"/>
      <x:c r="T168" s="71" t="str"/>
      <x:c r="U168" s="71" t="str"/>
      <x:c r="V168" s="49" t="str">
        <x:v>A violet liquid holding tiny mirrored flakes that turn toward nearby thoughts. It tastes metallic, smells of ozone and ink, and makes reflected faces seem unfamiliar.</x:v>
      </x:c>
    </x:row>
    <x:row r="169">
      <x:c r="A169" s="48" t="str">
        <x:v>Fourth Slot</x:v>
      </x:c>
      <x:c r="B169" s="71" t="str">
        <x:v>Essence</x:v>
      </x:c>
      <x:c r="C169" s="71" t="str">
        <x:v>Rare</x:v>
      </x:c>
      <x:c r="D169" s="71" t="str">
        <x:v>Psychic Essence</x:v>
      </x:c>
      <x:c r="E169" s="71" t="n">
        <x:v>0</x:v>
      </x:c>
      <x:c r="F169" s="71" t="n">
        <x:v>0</x:v>
      </x:c>
      <x:c r="G169" s="71" t="n">
        <x:v>0</x:v>
      </x:c>
      <x:c r="H169" s="71" t="n">
        <x:v>0</x:v>
      </x:c>
      <x:c r="I169" s="71" t="n">
        <x:v>0</x:v>
      </x:c>
      <x:c r="J169" s="71" t="n">
        <x:v>1</x:v>
      </x:c>
      <x:c r="K169" s="71" t="n">
        <x:v>0</x:v>
      </x:c>
      <x:c r="L169" s="71" t="str">
        <x:v>psychic</x:v>
      </x:c>
      <x:c r="M169" s="71" t="str"/>
      <x:c r="N169" s="71" t="str"/>
      <x:c r="O169" s="71" t="str"/>
      <x:c r="P169" s="71" t="str"/>
      <x:c r="Q169" s="71" t="str"/>
      <x:c r="R169" s="71" t="str"/>
      <x:c r="S169" s="71" t="str"/>
      <x:c r="T169" s="71" t="str"/>
      <x:c r="U169" s="71" t="str"/>
      <x:c r="V169" s="49" t="str">
        <x:v>A clear violet essence that seems to move when unobserved. It smells faintly of lavender and old ink.</x:v>
      </x:c>
    </x:row>
    <x:row r="170">
      <x:c r="A170" s="48" t="str">
        <x:v>Fourth Slot</x:v>
      </x:c>
      <x:c r="B170" s="71" t="str">
        <x:v>Essence</x:v>
      </x:c>
      <x:c r="C170" s="71" t="str">
        <x:v>Rare</x:v>
      </x:c>
      <x:c r="D170" s="71" t="str">
        <x:v>Radiant Essence</x:v>
      </x:c>
      <x:c r="E170" s="71" t="n">
        <x:v>0</x:v>
      </x:c>
      <x:c r="F170" s="71" t="n">
        <x:v>25</x:v>
      </x:c>
      <x:c r="G170" s="71" t="n">
        <x:v>0</x:v>
      </x:c>
      <x:c r="H170" s="71" t="n">
        <x:v>0</x:v>
      </x:c>
      <x:c r="I170" s="71" t="n">
        <x:v>0</x:v>
      </x:c>
      <x:c r="J170" s="71" t="n">
        <x:v>0</x:v>
      </x:c>
      <x:c r="K170" s="71" t="n">
        <x:v>0</x:v>
      </x:c>
      <x:c r="L170" s="71" t="str">
        <x:v>radiant</x:v>
      </x:c>
      <x:c r="M170" s="71" t="str"/>
      <x:c r="N170" s="71" t="str"/>
      <x:c r="O170" s="71" t="str"/>
      <x:c r="P170" s="71" t="str"/>
      <x:c r="Q170" s="71" t="str"/>
      <x:c r="R170" s="71" t="str"/>
      <x:c r="S170" s="71" t="str"/>
      <x:c r="T170" s="71" t="str"/>
      <x:c r="U170" s="71" t="str"/>
      <x:c r="V170" s="49" t="str">
        <x:v>A warm golden essence that brightens nearby liquid. It smells of sunlit linen, wax, and clean air.</x:v>
      </x:c>
    </x:row>
    <x:row r="171">
      <x:c r="A171" s="48" t="str">
        <x:v>Fourth Slot</x:v>
      </x:c>
      <x:c r="B171" s="71" t="str">
        <x:v>Essence</x:v>
      </x:c>
      <x:c r="C171" s="71" t="str">
        <x:v>Rare</x:v>
      </x:c>
      <x:c r="D171" s="71" t="str">
        <x:v>Storm Essence</x:v>
      </x:c>
      <x:c r="E171" s="71" t="n">
        <x:v>0</x:v>
      </x:c>
      <x:c r="F171" s="71" t="n">
        <x:v>0</x:v>
      </x:c>
      <x:c r="G171" s="71" t="n">
        <x:v>0</x:v>
      </x:c>
      <x:c r="H171" s="71" t="n">
        <x:v>0</x:v>
      </x:c>
      <x:c r="I171" s="71" t="n">
        <x:v>0</x:v>
      </x:c>
      <x:c r="J171" s="71" t="n">
        <x:v>0</x:v>
      </x:c>
      <x:c r="K171" s="71" t="n">
        <x:v>1</x:v>
      </x:c>
      <x:c r="L171" s="71" t="str">
        <x:v>lightning</x:v>
      </x:c>
      <x:c r="M171" s="71" t="str"/>
      <x:c r="N171" s="71" t="str"/>
      <x:c r="O171" s="71" t="str"/>
      <x:c r="P171" s="71" t="str"/>
      <x:c r="Q171" s="71" t="str"/>
      <x:c r="R171" s="71" t="str"/>
      <x:c r="S171" s="71" t="str"/>
      <x:c r="T171" s="71" t="str"/>
      <x:c r="U171" s="71" t="str"/>
      <x:c r="V171" s="49" t="str">
        <x:v>A violet-blue essence crawling with tiny sparks. It hums softly and smells of rain striking metal.</x:v>
      </x:c>
    </x:row>
    <x:row r="172">
      <x:c r="A172" s="48" t="str">
        <x:v>Fourth Slot</x:v>
      </x:c>
      <x:c r="B172" s="71" t="str">
        <x:v>Essence</x:v>
      </x:c>
      <x:c r="C172" s="71" t="str">
        <x:v>Very Rare</x:v>
      </x:c>
      <x:c r="D172" s="71" t="str">
        <x:v>Force Shard</x:v>
      </x:c>
      <x:c r="E172" s="71" t="n">
        <x:v>0</x:v>
      </x:c>
      <x:c r="F172" s="71" t="n">
        <x:v>0</x:v>
      </x:c>
      <x:c r="G172" s="71" t="n">
        <x:v>0</x:v>
      </x:c>
      <x:c r="H172" s="71" t="n">
        <x:v>0</x:v>
      </x:c>
      <x:c r="I172" s="71" t="n">
        <x:v>0</x:v>
      </x:c>
      <x:c r="J172" s="71" t="n">
        <x:v>0</x:v>
      </x:c>
      <x:c r="K172" s="71" t="n">
        <x:v>1</x:v>
      </x:c>
      <x:c r="L172" s="71" t="str">
        <x:v>force</x:v>
      </x:c>
      <x:c r="M172" s="71" t="str"/>
      <x:c r="N172" s="71" t="str"/>
      <x:c r="O172" s="71" t="str"/>
      <x:c r="P172" s="71" t="str"/>
      <x:c r="Q172" s="71" t="str"/>
      <x:c r="R172" s="71" t="str"/>
      <x:c r="S172" s="71" t="str"/>
      <x:c r="T172" s="71" t="str"/>
      <x:c r="U172" s="71" t="str"/>
      <x:c r="V172" s="49" t="str">
        <x:v>A hard translucent shard suspended in clear fluid. It clicks against the vial without touching the glass.</x:v>
      </x:c>
    </x:row>
    <x:row r="173">
      <x:c r="A173" s="48" t="str">
        <x:v>Fourth Slot</x:v>
      </x:c>
      <x:c r="B173" s="71" t="str">
        <x:v>Enhancer / Catalyst</x:v>
      </x:c>
      <x:c r="C173" s="71" t="str">
        <x:v>Uncommon</x:v>
      </x:c>
      <x:c r="D173" s="71" t="str">
        <x:v>Binding Agent</x:v>
      </x:c>
      <x:c r="E173" s="71" t="n">
        <x:v>0</x:v>
      </x:c>
      <x:c r="F173" s="71" t="n">
        <x:v>0</x:v>
      </x:c>
      <x:c r="G173" s="71" t="n">
        <x:v>50</x:v>
      </x:c>
      <x:c r="H173" s="71" t="n">
        <x:v>0</x:v>
      </x:c>
      <x:c r="I173" s="71" t="n">
        <x:v>0</x:v>
      </x:c>
      <x:c r="J173" s="71" t="n">
        <x:v>0</x:v>
      </x:c>
      <x:c r="K173" s="71" t="n">
        <x:v>0</x:v>
      </x:c>
      <x:c r="L173" s="71" t="str"/>
      <x:c r="M173" s="71" t="str"/>
      <x:c r="N173" s="71" t="str"/>
      <x:c r="O173" s="71" t="str"/>
      <x:c r="P173" s="71" t="str"/>
      <x:c r="Q173" s="71" t="str"/>
      <x:c r="R173" s="71" t="str"/>
      <x:c r="S173" s="71" t="str"/>
      <x:c r="T173" s="71" t="str"/>
      <x:c r="U173" s="71" t="str"/>
      <x:c r="V173" s="49" t="str">
        <x:v>A thick blue binder that slows every swirl in the beaker. It smells of clay, wax, and powdered chalk.</x:v>
      </x:c>
    </x:row>
    <x:row r="174">
      <x:c r="A174" s="48" t="str">
        <x:v>Fourth Slot</x:v>
      </x:c>
      <x:c r="B174" s="71" t="str">
        <x:v>Enhancer / Catalyst</x:v>
      </x:c>
      <x:c r="C174" s="71" t="str">
        <x:v>Uncommon</x:v>
      </x:c>
      <x:c r="D174" s="71" t="str">
        <x:v>Clear-Eye Distillate</x:v>
      </x:c>
      <x:c r="E174" s="71" t="n">
        <x:v>0</x:v>
      </x:c>
      <x:c r="F174" s="71" t="n">
        <x:v>0</x:v>
      </x:c>
      <x:c r="G174" s="71" t="n">
        <x:v>0</x:v>
      </x:c>
      <x:c r="H174" s="71" t="n">
        <x:v>0</x:v>
      </x:c>
      <x:c r="I174" s="71" t="n">
        <x:v>0</x:v>
      </x:c>
      <x:c r="J174" s="71" t="n">
        <x:v>0</x:v>
      </x:c>
      <x:c r="K174" s="71" t="n">
        <x:v>0</x:v>
      </x:c>
      <x:c r="L174" s="71" t="str"/>
      <x:c r="M174" s="71" t="str"/>
      <x:c r="N174" s="71" t="str"/>
      <x:c r="O174" s="71" t="str"/>
      <x:c r="P174" s="71" t="str"/>
      <x:c r="Q174" s="71" t="str"/>
      <x:c r="R174" s="71" t="str"/>
      <x:c r="S174" s="71" t="str">
        <x:v>Blinded</x:v>
      </x:c>
      <x:c r="T174" s="71" t="str">
        <x:v>Uncommon</x:v>
      </x:c>
      <x:c r="U174" s="71" t="str">
        <x:v>Elixirs</x:v>
      </x:c>
      <x:c r="V174" s="49" t="str">
        <x:v>A colorless distillate that flashes silver when held to the light. It smells of clean rain and crushed mint, and leaves the tongue cool and sharply focused.</x:v>
      </x:c>
    </x:row>
    <x:row r="175">
      <x:c r="A175" s="48" t="str">
        <x:v>Fourth Slot</x:v>
      </x:c>
      <x:c r="B175" s="71" t="str">
        <x:v>Enhancer / Catalyst</x:v>
      </x:c>
      <x:c r="C175" s="71" t="str">
        <x:v>Uncommon</x:v>
      </x:c>
      <x:c r="D175" s="71" t="str">
        <x:v>Distillation Agent</x:v>
      </x:c>
      <x:c r="E175" s="71" t="n">
        <x:v>0</x:v>
      </x:c>
      <x:c r="F175" s="71" t="n">
        <x:v>0</x:v>
      </x:c>
      <x:c r="G175" s="71" t="n">
        <x:v>0</x:v>
      </x:c>
      <x:c r="H175" s="71" t="n">
        <x:v>0</x:v>
      </x:c>
      <x:c r="I175" s="71" t="n">
        <x:v>1</x:v>
      </x:c>
      <x:c r="J175" s="71" t="n">
        <x:v>0</x:v>
      </x:c>
      <x:c r="K175" s="71" t="n">
        <x:v>0</x:v>
      </x:c>
      <x:c r="L175" s="71" t="str"/>
      <x:c r="M175" s="71" t="str"/>
      <x:c r="N175" s="71" t="str"/>
      <x:c r="O175" s="71" t="str"/>
      <x:c r="P175" s="71" t="str"/>
      <x:c r="Q175" s="71" t="str"/>
      <x:c r="R175" s="71" t="str"/>
      <x:c r="S175" s="71" t="str"/>
      <x:c r="T175" s="71" t="str"/>
      <x:c r="U175" s="71" t="str"/>
      <x:c r="V175" s="49" t="str">
        <x:v>A bright additive with tiny bubbles that climb upward forever. It smells of alcohol, copper, and hot glass.</x:v>
      </x:c>
    </x:row>
    <x:row r="176">
      <x:c r="A176" s="48" t="str">
        <x:v>Fourth Slot</x:v>
      </x:c>
      <x:c r="B176" s="71" t="str">
        <x:v>Enhancer / Catalyst</x:v>
      </x:c>
      <x:c r="C176" s="71" t="str">
        <x:v>Uncommon</x:v>
      </x:c>
      <x:c r="D176" s="71" t="str">
        <x:v>Heartward Counteragent</x:v>
      </x:c>
      <x:c r="E176" s="71" t="n">
        <x:v>0</x:v>
      </x:c>
      <x:c r="F176" s="71" t="n">
        <x:v>0</x:v>
      </x:c>
      <x:c r="G176" s="71" t="n">
        <x:v>0</x:v>
      </x:c>
      <x:c r="H176" s="71" t="n">
        <x:v>0</x:v>
      </x:c>
      <x:c r="I176" s="71" t="n">
        <x:v>0</x:v>
      </x:c>
      <x:c r="J176" s="71" t="n">
        <x:v>0</x:v>
      </x:c>
      <x:c r="K176" s="71" t="n">
        <x:v>0</x:v>
      </x:c>
      <x:c r="L176" s="71" t="str"/>
      <x:c r="M176" s="71" t="str"/>
      <x:c r="N176" s="71" t="str"/>
      <x:c r="O176" s="71" t="str"/>
      <x:c r="P176" s="71" t="str"/>
      <x:c r="Q176" s="71" t="str"/>
      <x:c r="R176" s="71" t="str"/>
      <x:c r="S176" s="71" t="str">
        <x:v>Charmed</x:v>
      </x:c>
      <x:c r="T176" s="71" t="str">
        <x:v>Uncommon</x:v>
      </x:c>
      <x:c r="U176" s="71" t="str">
        <x:v>Elixirs</x:v>
      </x:c>
      <x:c r="V176" s="49" t="str">
        <x:v>A rose-gold syrup that beads instead of running. It smells of cedar, bitter orange, and warm wax, and leaves a steadying warmth behind the breastbone.</x:v>
      </x:c>
    </x:row>
    <x:row r="177">
      <x:c r="A177" s="48" t="str">
        <x:v>Fourth Slot</x:v>
      </x:c>
      <x:c r="B177" s="71" t="str">
        <x:v>Enhancer / Catalyst</x:v>
      </x:c>
      <x:c r="C177" s="71" t="str">
        <x:v>Uncommon</x:v>
      </x:c>
      <x:c r="D177" s="71" t="str">
        <x:v>Lionheart Catalyst</x:v>
      </x:c>
      <x:c r="E177" s="71" t="n">
        <x:v>0</x:v>
      </x:c>
      <x:c r="F177" s="71" t="n">
        <x:v>0</x:v>
      </x:c>
      <x:c r="G177" s="71" t="n">
        <x:v>0</x:v>
      </x:c>
      <x:c r="H177" s="71" t="n">
        <x:v>0</x:v>
      </x:c>
      <x:c r="I177" s="71" t="n">
        <x:v>0</x:v>
      </x:c>
      <x:c r="J177" s="71" t="n">
        <x:v>0</x:v>
      </x:c>
      <x:c r="K177" s="71" t="n">
        <x:v>0</x:v>
      </x:c>
      <x:c r="L177" s="71" t="str"/>
      <x:c r="M177" s="71" t="str"/>
      <x:c r="N177" s="71" t="str"/>
      <x:c r="O177" s="71" t="str"/>
      <x:c r="P177" s="71" t="str"/>
      <x:c r="Q177" s="71" t="str"/>
      <x:c r="R177" s="71" t="str"/>
      <x:c r="S177" s="71" t="str">
        <x:v>Frightened</x:v>
      </x:c>
      <x:c r="T177" s="71" t="str">
        <x:v>Uncommon</x:v>
      </x:c>
      <x:c r="U177" s="71" t="str">
        <x:v>Elixirs</x:v>
      </x:c>
      <x:c r="V177" s="49" t="str">
        <x:v>A bright amber powder that crackles softly between the fingers. It smells of sun-warmed grass, pepper, and iron, and tastes intensely hot without burning.</x:v>
      </x:c>
    </x:row>
    <x:row r="178">
      <x:c r="A178" s="48" t="str">
        <x:v>Fourth Slot</x:v>
      </x:c>
      <x:c r="B178" s="71" t="str">
        <x:v>Enhancer / Catalyst</x:v>
      </x:c>
      <x:c r="C178" s="71" t="str">
        <x:v>Uncommon</x:v>
      </x:c>
      <x:c r="D178" s="71" t="str">
        <x:v>Mindanchor Tincture</x:v>
      </x:c>
      <x:c r="E178" s="71" t="n">
        <x:v>0</x:v>
      </x:c>
      <x:c r="F178" s="71" t="n">
        <x:v>0</x:v>
      </x:c>
      <x:c r="G178" s="71" t="n">
        <x:v>0</x:v>
      </x:c>
      <x:c r="H178" s="71" t="n">
        <x:v>0</x:v>
      </x:c>
      <x:c r="I178" s="71" t="n">
        <x:v>0</x:v>
      </x:c>
      <x:c r="J178" s="71" t="n">
        <x:v>0</x:v>
      </x:c>
      <x:c r="K178" s="71" t="n">
        <x:v>0</x:v>
      </x:c>
      <x:c r="L178" s="71" t="str"/>
      <x:c r="M178" s="71" t="str"/>
      <x:c r="N178" s="71" t="str"/>
      <x:c r="O178" s="71" t="str"/>
      <x:c r="P178" s="71" t="str"/>
      <x:c r="Q178" s="71" t="str"/>
      <x:c r="R178" s="71" t="str"/>
      <x:c r="S178" s="71" t="str">
        <x:v>Confused</x:v>
      </x:c>
      <x:c r="T178" s="71" t="str">
        <x:v>Uncommon</x:v>
      </x:c>
      <x:c r="U178" s="71" t="str">
        <x:v>Elixirs</x:v>
      </x:c>
      <x:c r="V178" s="49" t="str">
        <x:v>A violet tincture with tiny crystal motes that align when the vial is still. It smells of rosemary, old paper, and cold stone.</x:v>
      </x:c>
    </x:row>
    <x:row r="179">
      <x:c r="A179" s="48" t="str">
        <x:v>Fourth Slot</x:v>
      </x:c>
      <x:c r="B179" s="71" t="str">
        <x:v>Enhancer / Catalyst</x:v>
      </x:c>
      <x:c r="C179" s="71" t="str">
        <x:v>Uncommon</x:v>
      </x:c>
      <x:c r="D179" s="71" t="str">
        <x:v>Purity Counteragent</x:v>
      </x:c>
      <x:c r="E179" s="71" t="n">
        <x:v>0</x:v>
      </x:c>
      <x:c r="F179" s="71" t="n">
        <x:v>0</x:v>
      </x:c>
      <x:c r="G179" s="71" t="n">
        <x:v>0</x:v>
      </x:c>
      <x:c r="H179" s="71" t="n">
        <x:v>0</x:v>
      </x:c>
      <x:c r="I179" s="71" t="n">
        <x:v>0</x:v>
      </x:c>
      <x:c r="J179" s="71" t="n">
        <x:v>0</x:v>
      </x:c>
      <x:c r="K179" s="71" t="n">
        <x:v>0</x:v>
      </x:c>
      <x:c r="L179" s="71" t="str"/>
      <x:c r="M179" s="71" t="str"/>
      <x:c r="N179" s="71" t="str"/>
      <x:c r="O179" s="71" t="str"/>
      <x:c r="P179" s="71" t="str"/>
      <x:c r="Q179" s="71" t="str"/>
      <x:c r="R179" s="71" t="str"/>
      <x:c r="S179" s="71" t="str">
        <x:v>Poisoned</x:v>
      </x:c>
      <x:c r="T179" s="71" t="str">
        <x:v>Uncommon</x:v>
      </x:c>
      <x:c r="U179" s="71" t="str">
        <x:v>Elixirs</x:v>
      </x:c>
      <x:c r="V179" s="49" t="str">
        <x:v>A clear green concentrate with a clean bitter scent of pine needles, salt, and cut citrus. A single drop turns cloudy near common toxins.</x:v>
      </x:c>
    </x:row>
    <x:row r="180">
      <x:c r="A180" s="48" t="str">
        <x:v>Fourth Slot</x:v>
      </x:c>
      <x:c r="B180" s="71" t="str">
        <x:v>Enhancer / Catalyst</x:v>
      </x:c>
      <x:c r="C180" s="71" t="str">
        <x:v>Rare</x:v>
      </x:c>
      <x:c r="D180" s="71" t="str">
        <x:v>Concentrating Agent</x:v>
      </x:c>
      <x:c r="E180" s="71" t="n">
        <x:v>0</x:v>
      </x:c>
      <x:c r="F180" s="71" t="n">
        <x:v>50</x:v>
      </x:c>
      <x:c r="G180" s="71" t="n">
        <x:v>0</x:v>
      </x:c>
      <x:c r="H180" s="71" t="n">
        <x:v>0</x:v>
      </x:c>
      <x:c r="I180" s="71" t="n">
        <x:v>0</x:v>
      </x:c>
      <x:c r="J180" s="71" t="n">
        <x:v>0</x:v>
      </x:c>
      <x:c r="K180" s="71" t="n">
        <x:v>0</x:v>
      </x:c>
      <x:c r="L180" s="71" t="str"/>
      <x:c r="M180" s="71" t="str"/>
      <x:c r="N180" s="71" t="str"/>
      <x:c r="O180" s="71" t="str"/>
      <x:c r="P180" s="71" t="str"/>
      <x:c r="Q180" s="71" t="str"/>
      <x:c r="R180" s="71" t="str"/>
      <x:c r="S180" s="71" t="str"/>
      <x:c r="T180" s="71" t="str"/>
      <x:c r="U180" s="71" t="str"/>
      <x:c r="V180" s="49" t="str">
        <x:v>A dark drop that pulls color toward itself in a mixture. It smells bitter, hot, and focused.</x:v>
      </x:c>
    </x:row>
    <x:row r="181">
      <x:c r="A181" s="48" t="str">
        <x:v>Fourth Slot</x:v>
      </x:c>
      <x:c r="B181" s="71" t="str">
        <x:v>Enhancer / Catalyst</x:v>
      </x:c>
      <x:c r="C181" s="71" t="str">
        <x:v>Rare</x:v>
      </x:c>
      <x:c r="D181" s="71" t="str">
        <x:v>Freedom Resin</x:v>
      </x:c>
      <x:c r="E181" s="71" t="n">
        <x:v>0</x:v>
      </x:c>
      <x:c r="F181" s="71" t="n">
        <x:v>0</x:v>
      </x:c>
      <x:c r="G181" s="71" t="n">
        <x:v>0</x:v>
      </x:c>
      <x:c r="H181" s="71" t="n">
        <x:v>0</x:v>
      </x:c>
      <x:c r="I181" s="71" t="n">
        <x:v>0</x:v>
      </x:c>
      <x:c r="J181" s="71" t="n">
        <x:v>0</x:v>
      </x:c>
      <x:c r="K181" s="71" t="n">
        <x:v>0</x:v>
      </x:c>
      <x:c r="L181" s="71" t="str"/>
      <x:c r="M181" s="71" t="str"/>
      <x:c r="N181" s="71" t="str"/>
      <x:c r="O181" s="71" t="str"/>
      <x:c r="P181" s="71" t="str"/>
      <x:c r="Q181" s="71" t="str"/>
      <x:c r="R181" s="71" t="str"/>
      <x:c r="S181" s="71" t="str">
        <x:v>Restrained</x:v>
      </x:c>
      <x:c r="T181" s="71" t="str">
        <x:v>Rare</x:v>
      </x:c>
      <x:c r="U181" s="71" t="str">
        <x:v>Elixirs</x:v>
      </x:c>
      <x:c r="V181" s="49" t="str">
        <x:v>A slippery silver resin that refuses to cling to knots or rough surfaces. It smells of river reeds, soaproot, and cold wind.</x:v>
      </x:c>
    </x:row>
    <x:row r="182">
      <x:c r="A182" s="48" t="str">
        <x:v>Fourth Slot</x:v>
      </x:c>
      <x:c r="B182" s="71" t="str">
        <x:v>Enhancer / Catalyst</x:v>
      </x:c>
      <x:c r="C182" s="71" t="str">
        <x:v>Rare</x:v>
      </x:c>
      <x:c r="D182" s="71" t="str">
        <x:v>Nervewake Serum</x:v>
      </x:c>
      <x:c r="E182" s="71" t="n">
        <x:v>0</x:v>
      </x:c>
      <x:c r="F182" s="71" t="n">
        <x:v>0</x:v>
      </x:c>
      <x:c r="G182" s="71" t="n">
        <x:v>0</x:v>
      </x:c>
      <x:c r="H182" s="71" t="n">
        <x:v>0</x:v>
      </x:c>
      <x:c r="I182" s="71" t="n">
        <x:v>0</x:v>
      </x:c>
      <x:c r="J182" s="71" t="n">
        <x:v>0</x:v>
      </x:c>
      <x:c r="K182" s="71" t="n">
        <x:v>0</x:v>
      </x:c>
      <x:c r="L182" s="71" t="str"/>
      <x:c r="M182" s="71" t="str"/>
      <x:c r="N182" s="71" t="str"/>
      <x:c r="O182" s="71" t="str"/>
      <x:c r="P182" s="71" t="str"/>
      <x:c r="Q182" s="71" t="str"/>
      <x:c r="R182" s="71" t="str"/>
      <x:c r="S182" s="71" t="str">
        <x:v>Paralyzed</x:v>
      </x:c>
      <x:c r="T182" s="71" t="str">
        <x:v>Rare</x:v>
      </x:c>
      <x:c r="U182" s="71" t="str">
        <x:v>Elixirs</x:v>
      </x:c>
      <x:c r="V182" s="49" t="str">
        <x:v>A pale blue serum that crawls up glass in branching lines. It smells of rain, copper, and sharp herbs, and tingles against the skin.</x:v>
      </x:c>
    </x:row>
    <x:row r="183">
      <x:c r="A183" s="48" t="str">
        <x:v>Fourth Slot</x:v>
      </x:c>
      <x:c r="B183" s="71" t="str">
        <x:v>Enhancer / Catalyst</x:v>
      </x:c>
      <x:c r="C183" s="71" t="str">
        <x:v>Rare</x:v>
      </x:c>
      <x:c r="D183" s="71" t="str">
        <x:v>Pure Catalyst</x:v>
      </x:c>
      <x:c r="E183" s="71" t="n">
        <x:v>0</x:v>
      </x:c>
      <x:c r="F183" s="71" t="n">
        <x:v>0</x:v>
      </x:c>
      <x:c r="G183" s="71" t="n">
        <x:v>0</x:v>
      </x:c>
      <x:c r="H183" s="71" t="n">
        <x:v>0</x:v>
      </x:c>
      <x:c r="I183" s="71" t="n">
        <x:v>0</x:v>
      </x:c>
      <x:c r="J183" s="71" t="n">
        <x:v>0</x:v>
      </x:c>
      <x:c r="K183" s="71" t="n">
        <x:v>0</x:v>
      </x:c>
      <x:c r="L183" s="71" t="str"/>
      <x:c r="M183" s="71" t="str"/>
      <x:c r="N183" s="71" t="str"/>
      <x:c r="O183" s="71" t="str"/>
      <x:c r="P183" s="71" t="str"/>
      <x:c r="Q183" s="71" t="str"/>
      <x:c r="R183" s="71" t="str"/>
      <x:c r="S183" s="71" t="str"/>
      <x:c r="T183" s="71" t="str"/>
      <x:c r="U183" s="71" t="str"/>
      <x:c r="V183" s="49" t="str">
        <x:v>A perfectly clear catalyst that makes nearby mixtures settle into clean layers. It smells sterile and sharp.</x:v>
      </x:c>
    </x:row>
    <x:row r="184">
      <x:c r="A184" s="48" t="str">
        <x:v>Fourth Slot</x:v>
      </x:c>
      <x:c r="B184" s="71" t="str">
        <x:v>Enhancer / Catalyst</x:v>
      </x:c>
      <x:c r="C184" s="71" t="str">
        <x:v>Rare</x:v>
      </x:c>
      <x:c r="D184" s="71" t="str">
        <x:v>Stormground Serum</x:v>
      </x:c>
      <x:c r="E184" s="71" t="n">
        <x:v>0</x:v>
      </x:c>
      <x:c r="F184" s="71" t="n">
        <x:v>0</x:v>
      </x:c>
      <x:c r="G184" s="71" t="n">
        <x:v>0</x:v>
      </x:c>
      <x:c r="H184" s="71" t="n">
        <x:v>0</x:v>
      </x:c>
      <x:c r="I184" s="71" t="n">
        <x:v>0</x:v>
      </x:c>
      <x:c r="J184" s="71" t="n">
        <x:v>0</x:v>
      </x:c>
      <x:c r="K184" s="71" t="n">
        <x:v>0</x:v>
      </x:c>
      <x:c r="L184" s="71" t="str"/>
      <x:c r="M184" s="71" t="str"/>
      <x:c r="N184" s="71" t="str"/>
      <x:c r="O184" s="71" t="str"/>
      <x:c r="P184" s="71" t="str"/>
      <x:c r="Q184" s="71" t="str"/>
      <x:c r="R184" s="71" t="str"/>
      <x:c r="S184" s="71" t="str">
        <x:v>Stunned</x:v>
      </x:c>
      <x:c r="T184" s="71" t="str">
        <x:v>Rare</x:v>
      </x:c>
      <x:c r="U184" s="71" t="str">
        <x:v>Elixirs</x:v>
      </x:c>
      <x:c r="V184" s="49" t="str">
        <x:v>A smoky gray serum with blue sparks that vanish when touched. It smells of ozone, wet earth, and bitter tea.</x:v>
      </x:c>
    </x:row>
    <x:row r="185">
      <x:c r="A185" s="48" t="str">
        <x:v>Fourth Slot</x:v>
      </x:c>
      <x:c r="B185" s="71" t="str">
        <x:v>Enhancer / Catalyst</x:v>
      </x:c>
      <x:c r="C185" s="71" t="str">
        <x:v>Rare</x:v>
      </x:c>
      <x:c r="D185" s="71" t="str">
        <x:v>Volatile Agent</x:v>
      </x:c>
      <x:c r="E185" s="71" t="n">
        <x:v>0</x:v>
      </x:c>
      <x:c r="F185" s="71" t="n">
        <x:v>0</x:v>
      </x:c>
      <x:c r="G185" s="71" t="n">
        <x:v>0</x:v>
      </x:c>
      <x:c r="H185" s="71" t="n">
        <x:v>0</x:v>
      </x:c>
      <x:c r="I185" s="71" t="n">
        <x:v>0</x:v>
      </x:c>
      <x:c r="J185" s="71" t="n">
        <x:v>0</x:v>
      </x:c>
      <x:c r="K185" s="71" t="n">
        <x:v>1</x:v>
      </x:c>
      <x:c r="L185" s="71" t="str"/>
      <x:c r="M185" s="71" t="str"/>
      <x:c r="N185" s="71" t="str"/>
      <x:c r="O185" s="71" t="str"/>
      <x:c r="P185" s="71" t="str"/>
      <x:c r="Q185" s="71" t="str"/>
      <x:c r="R185" s="71" t="str"/>
      <x:c r="S185" s="71" t="str"/>
      <x:c r="T185" s="71" t="str"/>
      <x:c r="U185" s="71" t="str"/>
      <x:c r="V185" s="49" t="str">
        <x:v>A sealed red-black additive that ticks softly when shaken. It smells of sulfur, oil, and scorched metal.</x:v>
      </x:c>
    </x:row>
    <x:row r="186">
      <x:c r="A186" s="48" t="str">
        <x:v>Fourth Slot</x:v>
      </x:c>
      <x:c r="B186" s="71" t="str">
        <x:v>Enhancer / Catalyst</x:v>
      </x:c>
      <x:c r="C186" s="71" t="str">
        <x:v>Very Rare</x:v>
      </x:c>
      <x:c r="D186" s="71" t="str">
        <x:v>Stonebreaker Solvent</x:v>
      </x:c>
      <x:c r="E186" s="71" t="n">
        <x:v>0</x:v>
      </x:c>
      <x:c r="F186" s="71" t="n">
        <x:v>0</x:v>
      </x:c>
      <x:c r="G186" s="71" t="n">
        <x:v>0</x:v>
      </x:c>
      <x:c r="H186" s="71" t="n">
        <x:v>0</x:v>
      </x:c>
      <x:c r="I186" s="71" t="n">
        <x:v>0</x:v>
      </x:c>
      <x:c r="J186" s="71" t="n">
        <x:v>0</x:v>
      </x:c>
      <x:c r="K186" s="71" t="n">
        <x:v>0</x:v>
      </x:c>
      <x:c r="L186" s="71" t="str"/>
      <x:c r="M186" s="71" t="str"/>
      <x:c r="N186" s="71" t="str"/>
      <x:c r="O186" s="71" t="str"/>
      <x:c r="P186" s="71" t="str"/>
      <x:c r="Q186" s="71" t="str"/>
      <x:c r="R186" s="71" t="str"/>
      <x:c r="S186" s="71" t="str">
        <x:v>Petrified</x:v>
      </x:c>
      <x:c r="T186" s="71" t="str">
        <x:v>Very Rare</x:v>
      </x:c>
      <x:c r="U186" s="71" t="str">
        <x:v>Elixirs</x:v>
      </x:c>
      <x:c r="V186" s="49" t="str">
        <x:v>A pearlescent solvent that makes mineral dust hiss and loosen. It smells of lightning-struck stone, vinegar, and white flowers.</x:v>
      </x:c>
    </x:row>
    <x:row r="187">
      <x:c r="A187" s="48" t="str">
        <x:v>Fourth Slot</x:v>
      </x:c>
      <x:c r="B187" s="71" t="str">
        <x:v>Holy / Vital Component</x:v>
      </x:c>
      <x:c r="C187" s="71" t="str">
        <x:v>Rare</x:v>
      </x:c>
      <x:c r="D187" s="71" t="str">
        <x:v>Holy Component</x:v>
      </x:c>
      <x:c r="E187" s="71" t="n">
        <x:v>0</x:v>
      </x:c>
      <x:c r="F187" s="71" t="n">
        <x:v>0</x:v>
      </x:c>
      <x:c r="G187" s="71" t="n">
        <x:v>0</x:v>
      </x:c>
      <x:c r="H187" s="71" t="n">
        <x:v>0</x:v>
      </x:c>
      <x:c r="I187" s="71" t="n">
        <x:v>0</x:v>
      </x:c>
      <x:c r="J187" s="71" t="n">
        <x:v>0</x:v>
      </x:c>
      <x:c r="K187" s="71" t="n">
        <x:v>1</x:v>
      </x:c>
      <x:c r="L187" s="71" t="str"/>
      <x:c r="M187" s="71" t="str"/>
      <x:c r="N187" s="71" t="str"/>
      <x:c r="O187" s="71" t="str"/>
      <x:c r="P187" s="71" t="str"/>
      <x:c r="Q187" s="71" t="str"/>
      <x:c r="R187" s="71" t="str"/>
      <x:c r="S187" s="71" t="str"/>
      <x:c r="T187" s="71" t="str"/>
      <x:c r="U187" s="71" t="str"/>
      <x:c r="V187" s="49" t="str">
        <x:v>A blessed white-gold component wrapped in clean cloth. It smells of spring water, candle wax, and temple herbs.</x:v>
      </x:c>
    </x:row>
    <x:row r="188">
      <x:c r="A188" s="48" t="str">
        <x:v>Fourth Slot</x:v>
      </x:c>
      <x:c r="B188" s="71" t="str">
        <x:v>Holy / Vital Component</x:v>
      </x:c>
      <x:c r="C188" s="71" t="str">
        <x:v>Very Rare</x:v>
      </x:c>
      <x:c r="D188" s="71" t="str">
        <x:v>Greater Holy Component</x:v>
      </x:c>
      <x:c r="E188" s="71" t="n">
        <x:v>0</x:v>
      </x:c>
      <x:c r="F188" s="71" t="n">
        <x:v>0</x:v>
      </x:c>
      <x:c r="G188" s="71" t="n">
        <x:v>0</x:v>
      </x:c>
      <x:c r="H188" s="71" t="n">
        <x:v>0</x:v>
      </x:c>
      <x:c r="I188" s="71" t="n">
        <x:v>0</x:v>
      </x:c>
      <x:c r="J188" s="71" t="n">
        <x:v>0</x:v>
      </x:c>
      <x:c r="K188" s="71" t="n">
        <x:v>2</x:v>
      </x:c>
      <x:c r="L188" s="71" t="str"/>
      <x:c r="M188" s="71" t="str"/>
      <x:c r="N188" s="71" t="str"/>
      <x:c r="O188" s="71" t="str"/>
      <x:c r="P188" s="71" t="str"/>
      <x:c r="Q188" s="71" t="str"/>
      <x:c r="R188" s="71" t="str"/>
      <x:c r="S188" s="71" t="str"/>
      <x:c r="T188" s="71" t="str"/>
      <x:c r="U188" s="71" t="str"/>
      <x:c r="V188" s="49" t="str">
        <x:v>A luminous sacred component that warms the hand through the vial. It leaves a golden trail when stirred.</x:v>
      </x:c>
    </x:row>
    <x:row r="189">
      <x:c r="A189" s="48" t="str">
        <x:v>Fourth Slot</x:v>
      </x:c>
      <x:c r="B189" s="71" t="str">
        <x:v>Bile / Gland / Monster Fluid</x:v>
      </x:c>
      <x:c r="C189" s="71" t="str">
        <x:v>Uncommon</x:v>
      </x:c>
      <x:c r="D189" s="71" t="str">
        <x:v>Carrion Spore Sac</x:v>
      </x:c>
      <x:c r="E189" s="71" t="n">
        <x:v>0</x:v>
      </x:c>
      <x:c r="F189" s="71" t="n">
        <x:v>0</x:v>
      </x:c>
      <x:c r="G189" s="71" t="n">
        <x:v>0</x:v>
      </x:c>
      <x:c r="H189" s="71" t="n">
        <x:v>0</x:v>
      </x:c>
      <x:c r="I189" s="71" t="n">
        <x:v>0</x:v>
      </x:c>
      <x:c r="J189" s="71" t="n">
        <x:v>0</x:v>
      </x:c>
      <x:c r="K189" s="71" t="n">
        <x:v>0</x:v>
      </x:c>
      <x:c r="L189" s="71" t="str"/>
      <x:c r="M189" s="71" t="str">
        <x:v>Poisoned</x:v>
      </x:c>
      <x:c r="N189" s="71" t="str">
        <x:v>Constitution</x:v>
      </x:c>
      <x:c r="O189" s="71" t="str">
        <x:v>1 minute</x:v>
      </x:c>
      <x:c r="P189" s="71" t="str">
        <x:v>end of each turn</x:v>
      </x:c>
      <x:c r="Q189" s="71" t="str"/>
      <x:c r="R189" s="71" t="str"/>
      <x:c r="S189" s="71" t="str"/>
      <x:c r="T189" s="71" t="str"/>
      <x:c r="U189" s="71" t="str"/>
      <x:c r="V189" s="49" t="str">
        <x:v>A soft olive sac filled with oily brown spores. It smells of spoiled fruit, wet feathers, and vinegar, and leaves the skin clammy through gloves.</x:v>
      </x:c>
    </x:row>
    <x:row r="190">
      <x:c r="A190" s="48" t="str">
        <x:v>Fourth Slot</x:v>
      </x:c>
      <x:c r="B190" s="71" t="str">
        <x:v>Bile / Gland / Monster Fluid</x:v>
      </x:c>
      <x:c r="C190" s="71" t="str">
        <x:v>Uncommon</x:v>
      </x:c>
      <x:c r="D190" s="71" t="str">
        <x:v>Eyeless Moth Dust</x:v>
      </x:c>
      <x:c r="E190" s="71" t="n">
        <x:v>0</x:v>
      </x:c>
      <x:c r="F190" s="71" t="n">
        <x:v>0</x:v>
      </x:c>
      <x:c r="G190" s="71" t="n">
        <x:v>0</x:v>
      </x:c>
      <x:c r="H190" s="71" t="n">
        <x:v>0</x:v>
      </x:c>
      <x:c r="I190" s="71" t="n">
        <x:v>0</x:v>
      </x:c>
      <x:c r="J190" s="71" t="n">
        <x:v>0</x:v>
      </x:c>
      <x:c r="K190" s="71" t="n">
        <x:v>0</x:v>
      </x:c>
      <x:c r="L190" s="71" t="str"/>
      <x:c r="M190" s="71" t="str">
        <x:v>Blinded</x:v>
      </x:c>
      <x:c r="N190" s="71" t="str">
        <x:v>Constitution</x:v>
      </x:c>
      <x:c r="O190" s="71" t="str">
        <x:v>1 minute</x:v>
      </x:c>
      <x:c r="P190" s="71" t="str">
        <x:v>end of each turn</x:v>
      </x:c>
      <x:c r="Q190" s="71" t="str"/>
      <x:c r="R190" s="71" t="str"/>
      <x:c r="S190" s="71" t="str"/>
      <x:c r="T190" s="71" t="str"/>
      <x:c r="U190" s="71" t="str"/>
      <x:c r="V190" s="49" t="str">
        <x:v>A packet of pearl-gray dust brushed from the wings of eyeless cave moths. It feels like flour, smells of chalk and old wool, and makes bright light smear at the edge of vision.</x:v>
      </x:c>
    </x:row>
    <x:row r="191">
      <x:c r="A191" s="48" t="str">
        <x:v>Fourth Slot</x:v>
      </x:c>
      <x:c r="B191" s="71" t="str">
        <x:v>Bile / Gland / Monster Fluid</x:v>
      </x:c>
      <x:c r="C191" s="71" t="str">
        <x:v>Rare</x:v>
      </x:c>
      <x:c r="D191" s="71" t="str">
        <x:v>Aboleth Mucus</x:v>
      </x:c>
      <x:c r="E191" s="71" t="n">
        <x:v>0</x:v>
      </x:c>
      <x:c r="F191" s="71" t="n">
        <x:v>0</x:v>
      </x:c>
      <x:c r="G191" s="71" t="n">
        <x:v>0</x:v>
      </x:c>
      <x:c r="H191" s="71" t="n">
        <x:v>0</x:v>
      </x:c>
      <x:c r="I191" s="71" t="n">
        <x:v>0</x:v>
      </x:c>
      <x:c r="J191" s="71" t="n">
        <x:v>0</x:v>
      </x:c>
      <x:c r="K191" s="71" t="n">
        <x:v>0</x:v>
      </x:c>
      <x:c r="L191" s="71" t="str">
        <x:v>psychic</x:v>
      </x:c>
      <x:c r="M191" s="71" t="str">
        <x:v>Confused</x:v>
      </x:c>
      <x:c r="N191" s="71" t="str">
        <x:v>Wisdom</x:v>
      </x:c>
      <x:c r="O191" s="71" t="str">
        <x:v>1 minute</x:v>
      </x:c>
      <x:c r="P191" s="71" t="str">
        <x:v>end of each turn</x:v>
      </x:c>
      <x:c r="Q191" s="71" t="str"/>
      <x:c r="R191" s="71" t="str"/>
      <x:c r="S191" s="71" t="str"/>
      <x:c r="T191" s="71" t="str"/>
      <x:c r="U191" s="71" t="str"/>
      <x:c r="V191" s="49" t="str">
        <x:v>A slick blue-gray mucus that never fully mixes with water. It smells of deep brine, slime, and old psychic pressure.</x:v>
      </x:c>
    </x:row>
    <x:row r="192">
      <x:c r="A192" s="48" t="str">
        <x:v>Fourth Slot</x:v>
      </x:c>
      <x:c r="B192" s="71" t="str">
        <x:v>Bile / Gland / Monster Fluid</x:v>
      </x:c>
      <x:c r="C192" s="71" t="str">
        <x:v>Rare</x:v>
      </x:c>
      <x:c r="D192" s="71" t="str">
        <x:v>Dreadcap Spore Cluster</x:v>
      </x:c>
      <x:c r="E192" s="71" t="n">
        <x:v>0</x:v>
      </x:c>
      <x:c r="F192" s="71" t="n">
        <x:v>0</x:v>
      </x:c>
      <x:c r="G192" s="71" t="n">
        <x:v>0</x:v>
      </x:c>
      <x:c r="H192" s="71" t="n">
        <x:v>0</x:v>
      </x:c>
      <x:c r="I192" s="71" t="n">
        <x:v>0</x:v>
      </x:c>
      <x:c r="J192" s="71" t="n">
        <x:v>1</x:v>
      </x:c>
      <x:c r="K192" s="71" t="n">
        <x:v>0</x:v>
      </x:c>
      <x:c r="L192" s="71" t="str"/>
      <x:c r="M192" s="71" t="str">
        <x:v>Frightened</x:v>
      </x:c>
      <x:c r="N192" s="71" t="str">
        <x:v>Wisdom</x:v>
      </x:c>
      <x:c r="O192" s="71" t="str">
        <x:v>1 minute</x:v>
      </x:c>
      <x:c r="P192" s="71" t="str">
        <x:v>end of each turn</x:v>
      </x:c>
      <x:c r="Q192" s="71" t="str"/>
      <x:c r="R192" s="71" t="str"/>
      <x:c r="S192" s="71" t="str"/>
      <x:c r="T192" s="71" t="str"/>
      <x:c r="U192" s="71" t="str"/>
      <x:c r="V192" s="49" t="str">
        <x:v>A black-purple knot of spores that contracts when exposed to breath. It smells of cold sweat, grave soil, and extinguished candles, and whispers like distant footsteps.</x:v>
      </x:c>
    </x:row>
    <x:row r="193">
      <x:c r="A193" s="48" t="str">
        <x:v>Fourth Slot</x:v>
      </x:c>
      <x:c r="B193" s="71" t="str">
        <x:v>Bile / Gland / Monster Fluid</x:v>
      </x:c>
      <x:c r="C193" s="71" t="str">
        <x:v>Rare</x:v>
      </x:c>
      <x:c r="D193" s="71" t="str">
        <x:v>Ettercap Resin Gland</x:v>
      </x:c>
      <x:c r="E193" s="71" t="n">
        <x:v>0</x:v>
      </x:c>
      <x:c r="F193" s="71" t="n">
        <x:v>0</x:v>
      </x:c>
      <x:c r="G193" s="71" t="n">
        <x:v>0</x:v>
      </x:c>
      <x:c r="H193" s="71" t="n">
        <x:v>0</x:v>
      </x:c>
      <x:c r="I193" s="71" t="n">
        <x:v>0</x:v>
      </x:c>
      <x:c r="J193" s="71" t="n">
        <x:v>1</x:v>
      </x:c>
      <x:c r="K193" s="71" t="n">
        <x:v>0</x:v>
      </x:c>
      <x:c r="L193" s="71" t="str"/>
      <x:c r="M193" s="71" t="str">
        <x:v>Restrained</x:v>
      </x:c>
      <x:c r="N193" s="71" t="str">
        <x:v>Dexterity</x:v>
      </x:c>
      <x:c r="O193" s="71" t="str">
        <x:v>1 minute</x:v>
      </x:c>
      <x:c r="P193" s="71" t="str">
        <x:v>action to escape</x:v>
      </x:c>
      <x:c r="Q193" s="71" t="str"/>
      <x:c r="R193" s="71" t="str"/>
      <x:c r="S193" s="71" t="str"/>
      <x:c r="T193" s="71" t="str"/>
      <x:c r="U193" s="71" t="str"/>
      <x:c r="V193" s="49" t="str">
        <x:v>A thumb-sized gland packed with clear, ropey resin. It smells of wet silk and bitter pine, stretches several feet before snapping, and hardens instantly in dry air.</x:v>
      </x:c>
    </x:row>
    <x:row r="194">
      <x:c r="A194" s="48" t="str">
        <x:v>Fourth Slot</x:v>
      </x:c>
      <x:c r="B194" s="71" t="str">
        <x:v>Bile / Gland / Monster Fluid</x:v>
      </x:c>
      <x:c r="C194" s="71" t="str">
        <x:v>Rare</x:v>
      </x:c>
      <x:c r="D194" s="71" t="str">
        <x:v>Ghoul Ichor</x:v>
      </x:c>
      <x:c r="E194" s="71" t="n">
        <x:v>0</x:v>
      </x:c>
      <x:c r="F194" s="71" t="n">
        <x:v>0</x:v>
      </x:c>
      <x:c r="G194" s="71" t="n">
        <x:v>0</x:v>
      </x:c>
      <x:c r="H194" s="71" t="n">
        <x:v>0</x:v>
      </x:c>
      <x:c r="I194" s="71" t="n">
        <x:v>0</x:v>
      </x:c>
      <x:c r="J194" s="71" t="n">
        <x:v>1</x:v>
      </x:c>
      <x:c r="K194" s="71" t="n">
        <x:v>0</x:v>
      </x:c>
      <x:c r="L194" s="71" t="str"/>
      <x:c r="M194" s="71" t="str">
        <x:v>Paralyzed</x:v>
      </x:c>
      <x:c r="N194" s="71" t="str">
        <x:v>Constitution</x:v>
      </x:c>
      <x:c r="O194" s="71" t="str">
        <x:v>1 minute</x:v>
      </x:c>
      <x:c r="P194" s="71" t="str">
        <x:v>end of each turn</x:v>
      </x:c>
      <x:c r="Q194" s="71" t="str"/>
      <x:c r="R194" s="71" t="str"/>
      <x:c r="S194" s="71" t="str"/>
      <x:c r="T194" s="71" t="str"/>
      <x:c r="U194" s="71" t="str"/>
      <x:c r="V194" s="49" t="str">
        <x:v>A gray-black ichor that clings in strings. It smells of grave soil, rot, and numbing cold.</x:v>
      </x:c>
    </x:row>
    <x:row r="195">
      <x:c r="A195" s="48" t="str">
        <x:v>Fourth Slot</x:v>
      </x:c>
      <x:c r="B195" s="71" t="str">
        <x:v>Bile / Gland / Monster Fluid</x:v>
      </x:c>
      <x:c r="C195" s="71" t="str">
        <x:v>Rare</x:v>
      </x:c>
      <x:c r="D195" s="71" t="str">
        <x:v>Siren Gland Extract</x:v>
      </x:c>
      <x:c r="E195" s="71" t="n">
        <x:v>0</x:v>
      </x:c>
      <x:c r="F195" s="71" t="n">
        <x:v>0</x:v>
      </x:c>
      <x:c r="G195" s="71" t="n">
        <x:v>0</x:v>
      </x:c>
      <x:c r="H195" s="71" t="n">
        <x:v>0</x:v>
      </x:c>
      <x:c r="I195" s="71" t="n">
        <x:v>0</x:v>
      </x:c>
      <x:c r="J195" s="71" t="n">
        <x:v>1</x:v>
      </x:c>
      <x:c r="K195" s="71" t="n">
        <x:v>0</x:v>
      </x:c>
      <x:c r="L195" s="71" t="str"/>
      <x:c r="M195" s="71" t="str">
        <x:v>Charmed</x:v>
      </x:c>
      <x:c r="N195" s="71" t="str">
        <x:v>Wisdom</x:v>
      </x:c>
      <x:c r="O195" s="71" t="str">
        <x:v>1 minute</x:v>
      </x:c>
      <x:c r="P195" s="71" t="str">
        <x:v>when damaged</x:v>
      </x:c>
      <x:c r="Q195" s="71" t="str"/>
      <x:c r="R195" s="71" t="str"/>
      <x:c r="S195" s="71" t="str"/>
      <x:c r="T195" s="71" t="str"/>
      <x:c r="U195" s="71" t="str"/>
      <x:c r="V195" s="49" t="str">
        <x:v>A rose-gold extract that vibrates inside sealed glass. It smells of salt spray and sweet wine, and a faint melody can be heard when the vial is held to the ear.</x:v>
      </x:c>
    </x:row>
    <x:row r="196">
      <x:c r="A196" s="48" t="str">
        <x:v>Fourth Slot</x:v>
      </x:c>
      <x:c r="B196" s="71" t="str">
        <x:v>Bile / Gland / Monster Fluid</x:v>
      </x:c>
      <x:c r="C196" s="71" t="str">
        <x:v>Rare</x:v>
      </x:c>
      <x:c r="D196" s="71" t="str">
        <x:v>Troll Blood</x:v>
      </x:c>
      <x:c r="E196" s="71" t="n">
        <x:v>0</x:v>
      </x:c>
      <x:c r="F196" s="71" t="n">
        <x:v>25</x:v>
      </x:c>
      <x:c r="G196" s="71" t="n">
        <x:v>0</x:v>
      </x:c>
      <x:c r="H196" s="71" t="n">
        <x:v>0</x:v>
      </x:c>
      <x:c r="I196" s="71" t="n">
        <x:v>0</x:v>
      </x:c>
      <x:c r="J196" s="71" t="n">
        <x:v>0</x:v>
      </x:c>
      <x:c r="K196" s="71" t="n">
        <x:v>0</x:v>
      </x:c>
      <x:c r="L196" s="71" t="str"/>
      <x:c r="M196" s="71" t="str">
        <x:v>Regeneration</x:v>
      </x:c>
      <x:c r="N196" s="71" t="str"/>
      <x:c r="O196" s="71" t="str"/>
      <x:c r="P196" s="71" t="str"/>
      <x:c r="Q196" s="71" t="str"/>
      <x:c r="R196" s="71" t="str"/>
      <x:c r="S196" s="71" t="str"/>
      <x:c r="T196" s="71" t="str"/>
      <x:c r="U196" s="71" t="str"/>
      <x:c r="V196" s="49" t="str">
        <x:v>Thick green-black blood that knits back together after being stirred. It smells of wet hide, iron, and swamp rot.</x:v>
      </x:c>
    </x:row>
    <x:row r="197">
      <x:c r="A197" s="48" t="str">
        <x:v>Fourth Slot</x:v>
      </x:c>
      <x:c r="B197" s="71" t="str">
        <x:v>Bile / Gland / Monster Fluid</x:v>
      </x:c>
      <x:c r="C197" s="71" t="str">
        <x:v>Rare</x:v>
      </x:c>
      <x:c r="D197" s="71" t="str">
        <x:v>Wyvern Venom</x:v>
      </x:c>
      <x:c r="E197" s="71" t="n">
        <x:v>0</x:v>
      </x:c>
      <x:c r="F197" s="71" t="n">
        <x:v>0</x:v>
      </x:c>
      <x:c r="G197" s="71" t="n">
        <x:v>0</x:v>
      </x:c>
      <x:c r="H197" s="71" t="n">
        <x:v>0</x:v>
      </x:c>
      <x:c r="I197" s="71" t="n">
        <x:v>0</x:v>
      </x:c>
      <x:c r="J197" s="71" t="n">
        <x:v>1</x:v>
      </x:c>
      <x:c r="K197" s="71" t="n">
        <x:v>1</x:v>
      </x:c>
      <x:c r="L197" s="71" t="str">
        <x:v>poison</x:v>
      </x:c>
      <x:c r="M197" s="71" t="str"/>
      <x:c r="N197" s="71" t="str"/>
      <x:c r="O197" s="71" t="str"/>
      <x:c r="P197" s="71" t="str"/>
      <x:c r="Q197" s="71" t="str"/>
      <x:c r="R197" s="71" t="str"/>
      <x:c r="S197" s="71" t="str"/>
      <x:c r="T197" s="71" t="str"/>
      <x:c r="U197" s="71" t="str"/>
      <x:c r="V197" s="49" t="str">
        <x:v>A clear green venom that beads like oil. It smells of crushed nettles, copper, and sharp animal musk.</x:v>
      </x:c>
    </x:row>
    <x:row r="198">
      <x:c r="A198" s="48" t="str">
        <x:v>Fourth Slot</x:v>
      </x:c>
      <x:c r="B198" s="71" t="str">
        <x:v>Bile / Gland / Monster Fluid</x:v>
      </x:c>
      <x:c r="C198" s="71" t="str">
        <x:v>Very Rare</x:v>
      </x:c>
      <x:c r="D198" s="71" t="str">
        <x:v>Basilisk Bile</x:v>
      </x:c>
      <x:c r="E198" s="71" t="n">
        <x:v>0</x:v>
      </x:c>
      <x:c r="F198" s="71" t="n">
        <x:v>0</x:v>
      </x:c>
      <x:c r="G198" s="71" t="n">
        <x:v>0</x:v>
      </x:c>
      <x:c r="H198" s="71" t="n">
        <x:v>0</x:v>
      </x:c>
      <x:c r="I198" s="71" t="n">
        <x:v>0</x:v>
      </x:c>
      <x:c r="J198" s="71" t="n">
        <x:v>2</x:v>
      </x:c>
      <x:c r="K198" s="71" t="n">
        <x:v>0</x:v>
      </x:c>
      <x:c r="L198" s="71" t="str"/>
      <x:c r="M198" s="71" t="str">
        <x:v>Petrified</x:v>
      </x:c>
      <x:c r="N198" s="71" t="str">
        <x:v>Constitution</x:v>
      </x:c>
      <x:c r="O198" s="71" t="str">
        <x:v>1 minute</x:v>
      </x:c>
      <x:c r="P198" s="71" t="str">
        <x:v>end of each turn</x:v>
      </x:c>
      <x:c r="Q198" s="71" t="str"/>
      <x:c r="R198" s="71" t="str"/>
      <x:c r="S198" s="71" t="str"/>
      <x:c r="T198" s="71" t="str"/>
      <x:c r="U198" s="71" t="str"/>
      <x:c r="V198" s="49" t="str">
        <x:v>A gritty yellow bile that leaves stone-colored streaks in the vial. It smells chalky, sour, and reptilian.</x:v>
      </x:c>
    </x:row>
    <x:row r="199">
      <x:c r="A199" s="48" t="str">
        <x:v>Fourth Slot</x:v>
      </x:c>
      <x:c r="B199" s="71" t="str">
        <x:v>Bile / Gland / Monster Fluid</x:v>
      </x:c>
      <x:c r="C199" s="71" t="str">
        <x:v>Very Rare</x:v>
      </x:c>
      <x:c r="D199" s="71" t="str">
        <x:v>Dragon Gland</x:v>
      </x:c>
      <x:c r="E199" s="71" t="n">
        <x:v>0</x:v>
      </x:c>
      <x:c r="F199" s="71" t="n">
        <x:v>50</x:v>
      </x:c>
      <x:c r="G199" s="71" t="n">
        <x:v>0</x:v>
      </x:c>
      <x:c r="H199" s="71" t="n">
        <x:v>0</x:v>
      </x:c>
      <x:c r="I199" s="71" t="n">
        <x:v>0</x:v>
      </x:c>
      <x:c r="J199" s="71" t="n">
        <x:v>0</x:v>
      </x:c>
      <x:c r="K199" s="71" t="n">
        <x:v>1</x:v>
      </x:c>
      <x:c r="L199" s="71" t="str">
        <x:v>fire</x:v>
      </x:c>
      <x:c r="M199" s="71" t="str"/>
      <x:c r="N199" s="71" t="str"/>
      <x:c r="O199" s="71" t="str"/>
      <x:c r="P199" s="71" t="str"/>
      <x:c r="Q199" s="71" t="str"/>
      <x:c r="R199" s="71" t="str"/>
      <x:c r="S199" s="71" t="str"/>
      <x:c r="T199" s="71" t="str"/>
      <x:c r="U199" s="71" t="str"/>
      <x:c r="V199" s="49" t="str">
        <x:v>A preserved gland that pulses with elemental heat. It smells of scales, smoke, and old treasure chambers.</x:v>
      </x:c>
    </x:row>
    <x:row r="200">
      <x:c r="A200" s="48" t="str">
        <x:v>Fourth Slot</x:v>
      </x:c>
      <x:c r="B200" s="71" t="str">
        <x:v>Bile / Gland / Monster Fluid</x:v>
      </x:c>
      <x:c r="C200" s="71" t="str">
        <x:v>Very Rare</x:v>
      </x:c>
      <x:c r="D200" s="71" t="str">
        <x:v>Kaorti Ichor</x:v>
      </x:c>
      <x:c r="E200" s="71" t="n">
        <x:v>0</x:v>
      </x:c>
      <x:c r="F200" s="71" t="n">
        <x:v>50</x:v>
      </x:c>
      <x:c r="G200" s="71" t="n">
        <x:v>0</x:v>
      </x:c>
      <x:c r="H200" s="71" t="n">
        <x:v>0</x:v>
      </x:c>
      <x:c r="I200" s="71" t="n">
        <x:v>0</x:v>
      </x:c>
      <x:c r="J200" s="71" t="n">
        <x:v>2</x:v>
      </x:c>
      <x:c r="K200" s="71" t="n">
        <x:v>0</x:v>
      </x:c>
      <x:c r="L200" s="71" t="str"/>
      <x:c r="M200" s="71" t="str">
        <x:v>Confused</x:v>
      </x:c>
      <x:c r="N200" s="71" t="str">
        <x:v>Wisdom</x:v>
      </x:c>
      <x:c r="O200" s="71" t="str">
        <x:v>1 minute</x:v>
      </x:c>
      <x:c r="P200" s="71" t="str">
        <x:v>end of each turn</x:v>
      </x:c>
      <x:c r="Q200" s="71" t="str"/>
      <x:c r="R200" s="71" t="str"/>
      <x:c r="S200" s="71" t="str"/>
      <x:c r="T200" s="71" t="str"/>
      <x:c r="U200" s="71" t="str"/>
      <x:c r="V200" s="49" t="str">
        <x:v>A black-violet ichor that ripples in impossible patterns. It smells alien, sweet, and nauseatingly clean.</x:v>
      </x:c>
    </x:row>
    <x:row r="201">
      <x:c r="A201" s="48" t="str">
        <x:v>Fourth Slot</x:v>
      </x:c>
      <x:c r="B201" s="71" t="str">
        <x:v>Bile / Gland / Monster Fluid</x:v>
      </x:c>
      <x:c r="C201" s="71" t="str">
        <x:v>Very Rare</x:v>
      </x:c>
      <x:c r="D201" s="71" t="str">
        <x:v>Phase Residue</x:v>
      </x:c>
      <x:c r="E201" s="71" t="n">
        <x:v>0</x:v>
      </x:c>
      <x:c r="F201" s="71" t="n">
        <x:v>0</x:v>
      </x:c>
      <x:c r="G201" s="71" t="n">
        <x:v>50</x:v>
      </x:c>
      <x:c r="H201" s="71" t="n">
        <x:v>0</x:v>
      </x:c>
      <x:c r="I201" s="71" t="n">
        <x:v>0</x:v>
      </x:c>
      <x:c r="J201" s="71" t="n">
        <x:v>0</x:v>
      </x:c>
      <x:c r="K201" s="71" t="n">
        <x:v>0</x:v>
      </x:c>
      <x:c r="L201" s="71" t="str"/>
      <x:c r="M201" s="71" t="str">
        <x:v>Phase Displacement</x:v>
      </x:c>
      <x:c r="N201" s="71" t="str"/>
      <x:c r="O201" s="71" t="str"/>
      <x:c r="P201" s="71" t="str"/>
      <x:c r="Q201" s="71" t="str"/>
      <x:c r="R201" s="71" t="str"/>
      <x:c r="S201" s="71" t="str"/>
      <x:c r="T201" s="71" t="str"/>
      <x:c r="U201" s="71" t="str"/>
      <x:c r="V201" s="49" t="str">
        <x:v>A pearly residue that blurs at the edge of sight. It smells like ozone, fog, and empty rooms.</x:v>
      </x:c>
    </x:row>
    <x:row r="202">
      <x:c r="A202" s="50" t="str">
        <x:v>Fourth Slot</x:v>
      </x:c>
      <x:c r="B202" s="72" t="str">
        <x:v>Bile / Gland / Monster Fluid</x:v>
      </x:c>
      <x:c r="C202" s="72" t="str">
        <x:v>Very Rare</x:v>
      </x:c>
      <x:c r="D202" s="72" t="str">
        <x:v>Shock Eel Cerebrum</x:v>
      </x:c>
      <x:c r="E202" s="72" t="n">
        <x:v>0</x:v>
      </x:c>
      <x:c r="F202" s="72" t="n">
        <x:v>0</x:v>
      </x:c>
      <x:c r="G202" s="72" t="n">
        <x:v>0</x:v>
      </x:c>
      <x:c r="H202" s="72" t="n">
        <x:v>0</x:v>
      </x:c>
      <x:c r="I202" s="72" t="n">
        <x:v>0</x:v>
      </x:c>
      <x:c r="J202" s="72" t="n">
        <x:v>0</x:v>
      </x:c>
      <x:c r="K202" s="72" t="n">
        <x:v>1</x:v>
      </x:c>
      <x:c r="L202" s="72" t="str"/>
      <x:c r="M202" s="72" t="str">
        <x:v>Stunned</x:v>
      </x:c>
      <x:c r="N202" s="72" t="str">
        <x:v>Constitution</x:v>
      </x:c>
      <x:c r="O202" s="72" t="str">
        <x:v>until the end of the target's next turn</x:v>
      </x:c>
      <x:c r="P202" s="72" t="str"/>
      <x:c r="Q202" s="72" t="str"/>
      <x:c r="R202" s="72" t="str"/>
      <x:c r="S202" s="72" t="str"/>
      <x:c r="T202" s="72" t="str"/>
      <x:c r="U202" s="72" t="str"/>
      <x:c r="V202" s="51" t="str">
        <x:v>A translucent blue organ suspended in conductive brine. It crackles against metal, smells sharply of ozone and seawater, and causes the fingers to twitch nearby.</x:v>
      </x:c>
    </x:row>
  </x:sheetData>
  <x:conditionalFormatting sqref="C2:C202">
    <x:cfRule type="expression" dxfId="0" priority="1">
      <x:formula>C2="Common"</x:formula>
    </x:cfRule>
    <x:cfRule type="expression" dxfId="1" priority="2">
      <x:formula>C2="Uncommon"</x:formula>
    </x:cfRule>
    <x:cfRule type="expression" dxfId="2" priority="3">
      <x:formula>C2="Rare"</x:formula>
    </x:cfRule>
    <x:cfRule type="expression" dxfId="3" priority="4">
      <x:formula>C2="Very Rare"</x:formula>
    </x:cfRule>
    <x:cfRule type="expression" dxfId="4" priority="5">
      <x:formula>C2="Legendary"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ea766e412648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5" hidden="0" customWidth="1"/>
    <x:col min="4" max="4" width="40" hidden="0" customWidth="1"/>
    <x:col min="5" max="5" width="15" hidden="0" customWidth="1"/>
    <x:col min="6" max="6" width="14" hidden="0" customWidth="1"/>
    <x:col min="7" max="7" width="21" hidden="0" customWidth="1"/>
    <x:col min="8" max="8" width="21" hidden="0" customWidth="1"/>
    <x:col min="9" max="9" width="21" hidden="0" customWidth="1"/>
    <x:col min="10" max="10" width="48" hidden="0" customWidth="1"/>
    <x:col min="11" max="11" width="58" hidden="0" customWidth="1"/>
    <x:col min="12" max="12" width="12" hidden="0" customWidth="1"/>
    <x:col min="13" max="13" width="18" hidden="0" customWidth="1"/>
    <x:col min="14" max="14" width="64" hidden="0" customWidth="1"/>
    <x:col min="15" max="15" width="20" hidden="0" customWidth="1"/>
    <x:col min="16" max="16" width="20" hidden="0" customWidth="1"/>
    <x:col min="17" max="17" width="20" hidden="0" customWidth="1"/>
    <x:col min="18" max="18" width="15" hidden="0" customWidth="1"/>
    <x:col min="19" max="19" width="20" hidden="0" customWidth="1"/>
    <x:col min="20" max="20" width="22" hidden="0" customWidth="1"/>
    <x:col min="21" max="21" width="25" hidden="0" customWidth="1"/>
    <x:col min="22" max="22" width="38" hidden="0" customWidth="1"/>
  </x:cols>
  <x:sheetData>
    <x:row r="1">
      <x:c r="A1" s="36" t="str">
        <x:v>Type</x:v>
      </x:c>
      <x:c r="B1" s="65" t="str">
        <x:v>Brew</x:v>
      </x:c>
      <x:c r="C1" s="65" t="str">
        <x:v>Formula Family</x:v>
      </x:c>
      <x:c r="D1" s="65" t="str">
        <x:v>Theme Source</x:v>
      </x:c>
      <x:c r="E1" s="65" t="str">
        <x:v>Formula Rarity</x:v>
      </x:c>
      <x:c r="F1" s="65" t="str">
        <x:v>Base Craft DC</x:v>
      </x:c>
      <x:c r="G1" s="65" t="str">
        <x:v>Core Ingredient 1</x:v>
      </x:c>
      <x:c r="H1" s="65" t="str">
        <x:v>Core Ingredient 2</x:v>
      </x:c>
      <x:c r="I1" s="65" t="str">
        <x:v>Core Ingredient 3</x:v>
      </x:c>
      <x:c r="J1" s="65" t="str">
        <x:v>Three-Ingredient Formula</x:v>
      </x:c>
      <x:c r="K1" s="65" t="str">
        <x:v>Fourth Slot</x:v>
      </x:c>
      <x:c r="L1" s="65" t="str">
        <x:v>Required?</x:v>
      </x:c>
      <x:c r="M1" s="65" t="str">
        <x:v>Base Duration</x:v>
      </x:c>
      <x:c r="N1" s="65" t="str">
        <x:v>Base Effect</x:v>
      </x:c>
      <x:c r="O1" s="65" t="str">
        <x:v>Condition Riders</x:v>
      </x:c>
      <x:c r="P1" s="65" t="str">
        <x:v>Ends Conditions</x:v>
      </x:c>
      <x:c r="Q1" s="65" t="str">
        <x:v>Grants Immunity</x:v>
      </x:c>
      <x:c r="R1" s="65" t="str">
        <x:v>Rider Save</x:v>
      </x:c>
      <x:c r="S1" s="65" t="str">
        <x:v>Rider Duration</x:v>
      </x:c>
      <x:c r="T1" s="65" t="str">
        <x:v>Repeat / Escape</x:v>
      </x:c>
      <x:c r="U1" s="65" t="str">
        <x:v>Use</x:v>
      </x:c>
      <x:c r="V1" s="37" t="str">
        <x:v>Notes</x:v>
      </x:c>
    </x:row>
    <x:row r="2">
      <x:c r="A2" s="48" t="str">
        <x:v>Potions</x:v>
      </x:c>
      <x:c r="B2" s="71" t="str">
        <x:v>Antitoxin</x:v>
      </x:c>
      <x:c r="C2" s="71" t="str"/>
      <x:c r="D2" s="71" t="str"/>
      <x:c r="E2" s="71" t="str">
        <x:v>Common</x:v>
      </x:c>
      <x:c r="F2" s="71" t="n">
        <x:v>16</x:v>
      </x:c>
      <x:c r="G2" s="71" t="str">
        <x:v>Root</x:v>
      </x:c>
      <x:c r="H2" s="71" t="str">
        <x:v>Mineral / Salt / Ash</x:v>
      </x:c>
      <x:c r="I2" s="71" t="str">
        <x:v>Flower</x:v>
      </x:c>
      <x:c r="J2" s="71" t="str">
        <x:v>Root + Mineral / Salt / Ash + Flower</x:v>
      </x:c>
      <x:c r="K2" s="71" t="str">
        <x:v>Optional fourth slot: purifying enhancer, holy component, or antivenom monster part.</x:v>
      </x:c>
      <x:c r="L2" s="71" t="str">
        <x:v>Optional</x:v>
      </x:c>
      <x:c r="M2" s="71" t="str">
        <x:v>1 hour</x:v>
      </x:c>
      <x:c r="N2" s="71" t="str">
        <x:v>The drinker has Advantage on saving throws against poison.</x:v>
      </x:c>
      <x:c r="O2" s="71" t="str"/>
      <x:c r="P2" s="71" t="str"/>
      <x:c r="Q2" s="71" t="str"/>
      <x:c r="R2" s="71" t="str"/>
      <x:c r="S2" s="71" t="str"/>
      <x:c r="T2" s="71" t="str"/>
      <x:c r="U2" s="71" t="str">
        <x:v>Bonus Action to use or apply</x:v>
      </x:c>
      <x:c r="V2" s="49" t="str"/>
    </x:row>
    <x:row r="3">
      <x:c r="A3" s="48" t="str">
        <x:v>Potions</x:v>
      </x:c>
      <x:c r="B3" s="71" t="str">
        <x:v>Ironroot Salve</x:v>
      </x:c>
      <x:c r="C3" s="71" t="str"/>
      <x:c r="D3" s="71" t="str"/>
      <x:c r="E3" s="71" t="str">
        <x:v>Uncommon</x:v>
      </x:c>
      <x:c r="F3" s="71" t="n">
        <x:v>22</x:v>
      </x:c>
      <x:c r="G3" s="71" t="str">
        <x:v>Thorn / Bark / Wood</x:v>
      </x:c>
      <x:c r="H3" s="71" t="str">
        <x:v>Root</x:v>
      </x:c>
      <x:c r="I3" s="71" t="str">
        <x:v>Sap / Resin</x:v>
      </x:c>
      <x:c r="J3" s="71" t="str">
        <x:v>Thorn / Bark / Wood + Root + Sap / Resin</x:v>
      </x:c>
      <x:c r="K3" s="71" t="str">
        <x:v>Optional fourth slot: defensive enhancer, earth essence, or reinforcing monster component.</x:v>
      </x:c>
      <x:c r="L3" s="71" t="str">
        <x:v>Optional</x:v>
      </x:c>
      <x:c r="M3" s="71" t="str">
        <x:v>1 hour</x:v>
      </x:c>
      <x:c r="N3" s="71" t="str">
        <x:v>The target gains a defensive buffer or improved resistance to forced movement by DM ruling.</x:v>
      </x:c>
      <x:c r="O3" s="71" t="str"/>
      <x:c r="P3" s="71" t="str"/>
      <x:c r="Q3" s="71" t="str"/>
      <x:c r="R3" s="71" t="str"/>
      <x:c r="S3" s="71" t="str"/>
      <x:c r="T3" s="71" t="str"/>
      <x:c r="U3" s="71" t="str">
        <x:v>Bonus Action to use or apply</x:v>
      </x:c>
      <x:c r="V3" s="49" t="str"/>
    </x:row>
    <x:row r="4">
      <x:c r="A4" s="48" t="str">
        <x:v>Potions</x:v>
      </x:c>
      <x:c r="B4" s="71" t="str">
        <x:v>Night-Eye Drops</x:v>
      </x:c>
      <x:c r="C4" s="71" t="str"/>
      <x:c r="D4" s="71" t="str"/>
      <x:c r="E4" s="71" t="str">
        <x:v>Uncommon</x:v>
      </x:c>
      <x:c r="F4" s="71" t="n">
        <x:v>22</x:v>
      </x:c>
      <x:c r="G4" s="71" t="str">
        <x:v>Flower</x:v>
      </x:c>
      <x:c r="H4" s="71" t="str">
        <x:v>Moss / Lichen</x:v>
      </x:c>
      <x:c r="I4" s="71" t="str">
        <x:v>Mineral / Salt / Ash</x:v>
      </x:c>
      <x:c r="J4" s="71" t="str">
        <x:v>Flower + Moss / Lichen + Mineral / Salt / Ash</x:v>
      </x:c>
      <x:c r="K4" s="71" t="str">
        <x:v>Optional fourth slot: shadow, moon, or sensory essence.</x:v>
      </x:c>
      <x:c r="L4" s="71" t="str">
        <x:v>Optional</x:v>
      </x:c>
      <x:c r="M4" s="71" t="str">
        <x:v>1 hour</x:v>
      </x:c>
      <x:c r="N4" s="71" t="str">
        <x:v>The user gains darkvision or improved low-light perception by DM ruling.</x:v>
      </x:c>
      <x:c r="O4" s="71" t="str"/>
      <x:c r="P4" s="71" t="str"/>
      <x:c r="Q4" s="71" t="str"/>
      <x:c r="R4" s="71" t="str"/>
      <x:c r="S4" s="71" t="str"/>
      <x:c r="T4" s="71" t="str"/>
      <x:c r="U4" s="71" t="str">
        <x:v>Bonus Action to use or apply</x:v>
      </x:c>
      <x:c r="V4" s="49" t="str"/>
    </x:row>
    <x:row r="5">
      <x:c r="A5" s="48" t="str">
        <x:v>Potions</x:v>
      </x:c>
      <x:c r="B5" s="71" t="str">
        <x:v>Oil of Etherealness</x:v>
      </x:c>
      <x:c r="C5" s="71" t="str"/>
      <x:c r="D5" s="71" t="str"/>
      <x:c r="E5" s="71" t="str">
        <x:v>Very Rare</x:v>
      </x:c>
      <x:c r="F5" s="71" t="n">
        <x:v>34</x:v>
      </x:c>
      <x:c r="G5" s="71" t="str">
        <x:v>Sap / Resin</x:v>
      </x:c>
      <x:c r="H5" s="71" t="str">
        <x:v>Mineral / Salt / Ash</x:v>
      </x:c>
      <x:c r="I5" s="71" t="str">
        <x:v>Flower</x:v>
      </x:c>
      <x:c r="J5" s="71" t="str">
        <x:v>Sap / Resin + Mineral / Salt / Ash + Flower</x:v>
      </x:c>
      <x:c r="K5" s="71" t="str">
        <x:v>Required fourth slot: phase residue, ethereal essence, or another planar component.</x:v>
      </x:c>
      <x:c r="L5" s="71" t="str">
        <x:v>Required</x:v>
      </x:c>
      <x:c r="M5" s="71" t="str">
        <x:v>1 hour</x:v>
      </x:c>
      <x:c r="N5" s="71" t="str">
        <x:v>One vial can cover one Medium or smaller creature and grants the effect of Etherealness.</x:v>
      </x:c>
      <x:c r="O5" s="71" t="str"/>
      <x:c r="P5" s="71" t="str"/>
      <x:c r="Q5" s="71" t="str"/>
      <x:c r="R5" s="71" t="str"/>
      <x:c r="S5" s="71" t="str"/>
      <x:c r="T5" s="71" t="str"/>
      <x:c r="U5" s="71" t="str">
        <x:v>Bonus Action to use or apply</x:v>
      </x:c>
      <x:c r="V5" s="49" t="str"/>
    </x:row>
    <x:row r="6">
      <x:c r="A6" s="48" t="str">
        <x:v>Potions</x:v>
      </x:c>
      <x:c r="B6" s="71" t="str">
        <x:v>Oil of Sharpness</x:v>
      </x:c>
      <x:c r="C6" s="71" t="str"/>
      <x:c r="D6" s="71" t="str"/>
      <x:c r="E6" s="71" t="str">
        <x:v>Very Rare</x:v>
      </x:c>
      <x:c r="F6" s="71" t="n">
        <x:v>34</x:v>
      </x:c>
      <x:c r="G6" s="71" t="str">
        <x:v>Sap / Resin</x:v>
      </x:c>
      <x:c r="H6" s="71" t="str">
        <x:v>Thorn / Bark / Wood</x:v>
      </x:c>
      <x:c r="I6" s="71" t="str">
        <x:v>Mineral / Salt / Ash</x:v>
      </x:c>
      <x:c r="J6" s="71" t="str">
        <x:v>Sap / Resin + Thorn / Bark / Wood + Mineral / Salt / Ash</x:v>
      </x:c>
      <x:c r="K6" s="71" t="str">
        <x:v>Optional fourth slot: concentrating enhancer or monster-derived cutting agent.</x:v>
      </x:c>
      <x:c r="L6" s="71" t="str">
        <x:v>Optional</x:v>
      </x:c>
      <x:c r="M6" s="71" t="str">
        <x:v>1 hour</x:v>
      </x:c>
      <x:c r="N6" s="71" t="str">
        <x:v>A coated slashing or piercing weapon or ammunition gains a temporary bonus to attack and damage rolls by DM ruling.</x:v>
      </x:c>
      <x:c r="O6" s="71" t="str"/>
      <x:c r="P6" s="71" t="str"/>
      <x:c r="Q6" s="71" t="str"/>
      <x:c r="R6" s="71" t="str"/>
      <x:c r="S6" s="71" t="str"/>
      <x:c r="T6" s="71" t="str"/>
      <x:c r="U6" s="71" t="str">
        <x:v>Bonus Action to use or apply</x:v>
      </x:c>
      <x:c r="V6" s="49" t="str"/>
    </x:row>
    <x:row r="7">
      <x:c r="A7" s="48" t="str">
        <x:v>Potions</x:v>
      </x:c>
      <x:c r="B7" s="71" t="str">
        <x:v>Philter of Love</x:v>
      </x:c>
      <x:c r="C7" s="71" t="str"/>
      <x:c r="D7" s="71" t="str"/>
      <x:c r="E7" s="71" t="str">
        <x:v>Uncommon</x:v>
      </x:c>
      <x:c r="F7" s="71" t="n">
        <x:v>22</x:v>
      </x:c>
      <x:c r="G7" s="71" t="str">
        <x:v>Flower</x:v>
      </x:c>
      <x:c r="H7" s="71" t="str">
        <x:v>Flower</x:v>
      </x:c>
      <x:c r="I7" s="71" t="str">
        <x:v>Sap / Resin</x:v>
      </x:c>
      <x:c r="J7" s="71" t="str">
        <x:v>Flower + Flower + Sap / Resin</x:v>
      </x:c>
      <x:c r="K7" s="71" t="str">
        <x:v>Optional fourth slot: fey, psychic, or glamour essence.</x:v>
      </x:c>
      <x:c r="L7" s="71" t="str">
        <x:v>Optional</x:v>
      </x:c>
      <x:c r="M7" s="71" t="str">
        <x:v>1 hour</x:v>
      </x:c>
      <x:c r="N7" s="71" t="str">
        <x:v>The drinker is charmed by the first creature they see shortly after drinking, by DM ruling.</x:v>
      </x:c>
      <x:c r="O7" s="71" t="str"/>
      <x:c r="P7" s="71" t="str"/>
      <x:c r="Q7" s="71" t="str"/>
      <x:c r="R7" s="71" t="str"/>
      <x:c r="S7" s="71" t="str"/>
      <x:c r="T7" s="71" t="str"/>
      <x:c r="U7" s="71" t="str">
        <x:v>Bonus Action to use or apply</x:v>
      </x:c>
      <x:c r="V7" s="49" t="str"/>
    </x:row>
    <x:row r="8">
      <x:c r="A8" s="48" t="str">
        <x:v>Potions</x:v>
      </x:c>
      <x:c r="B8" s="71" t="str">
        <x:v>Potion of Animal Friendship</x:v>
      </x:c>
      <x:c r="C8" s="71" t="str"/>
      <x:c r="D8" s="71" t="str"/>
      <x:c r="E8" s="71" t="str">
        <x:v>Uncommon</x:v>
      </x:c>
      <x:c r="F8" s="71" t="n">
        <x:v>22</x:v>
      </x:c>
      <x:c r="G8" s="71" t="str">
        <x:v>Flower</x:v>
      </x:c>
      <x:c r="H8" s="71" t="str">
        <x:v>Leaf / Vine</x:v>
      </x:c>
      <x:c r="I8" s="71" t="str">
        <x:v>Root</x:v>
      </x:c>
      <x:c r="J8" s="71" t="str">
        <x:v>Flower + Leaf / Vine + Root</x:v>
      </x:c>
      <x:c r="K8" s="71" t="str">
        <x:v>Optional fourth slot: fey essence or beast-derived component.</x:v>
      </x:c>
      <x:c r="L8" s="71" t="str">
        <x:v>Optional</x:v>
      </x:c>
      <x:c r="M8" s="71" t="str">
        <x:v>1 hour</x:v>
      </x:c>
      <x:c r="N8" s="71" t="str">
        <x:v>The drinker can cast Animal Friendship, with the save DC set by the potion or DM.</x:v>
      </x:c>
      <x:c r="O8" s="71" t="str"/>
      <x:c r="P8" s="71" t="str"/>
      <x:c r="Q8" s="71" t="str"/>
      <x:c r="R8" s="71" t="str"/>
      <x:c r="S8" s="71" t="str"/>
      <x:c r="T8" s="71" t="str"/>
      <x:c r="U8" s="71" t="str">
        <x:v>Bonus Action to use or apply</x:v>
      </x:c>
      <x:c r="V8" s="49" t="str"/>
    </x:row>
    <x:row r="9">
      <x:c r="A9" s="48" t="str">
        <x:v>Potions</x:v>
      </x:c>
      <x:c r="B9" s="71" t="str">
        <x:v>Potion of Clairvoyance</x:v>
      </x:c>
      <x:c r="C9" s="71" t="str"/>
      <x:c r="D9" s="71" t="str"/>
      <x:c r="E9" s="71" t="str">
        <x:v>Rare</x:v>
      </x:c>
      <x:c r="F9" s="71" t="n">
        <x:v>28</x:v>
      </x:c>
      <x:c r="G9" s="71" t="str">
        <x:v>Flower</x:v>
      </x:c>
      <x:c r="H9" s="71" t="str">
        <x:v>Mineral / Salt / Ash</x:v>
      </x:c>
      <x:c r="I9" s="71" t="str">
        <x:v>Moss / Lichen</x:v>
      </x:c>
      <x:c r="J9" s="71" t="str">
        <x:v>Flower + Mineral / Salt / Ash + Moss / Lichen</x:v>
      </x:c>
      <x:c r="K9" s="71" t="str">
        <x:v>Optional fourth slot: psychic, crystal, or remote-sensing essence.</x:v>
      </x:c>
      <x:c r="L9" s="71" t="str">
        <x:v>Optional</x:v>
      </x:c>
      <x:c r="M9" s="71" t="str">
        <x:v>10 minutes</x:v>
      </x:c>
      <x:c r="N9" s="71" t="str">
        <x:v>The drinker gains the effect of Clairvoyance.</x:v>
      </x:c>
      <x:c r="O9" s="71" t="str"/>
      <x:c r="P9" s="71" t="str"/>
      <x:c r="Q9" s="71" t="str"/>
      <x:c r="R9" s="71" t="str"/>
      <x:c r="S9" s="71" t="str"/>
      <x:c r="T9" s="71" t="str"/>
      <x:c r="U9" s="71" t="str">
        <x:v>Bonus Action to use or apply</x:v>
      </x:c>
      <x:c r="V9" s="49" t="str"/>
    </x:row>
    <x:row r="10">
      <x:c r="A10" s="48" t="str">
        <x:v>Potions</x:v>
      </x:c>
      <x:c r="B10" s="71" t="str">
        <x:v>Potion of Climbing</x:v>
      </x:c>
      <x:c r="C10" s="71" t="str"/>
      <x:c r="D10" s="71" t="str"/>
      <x:c r="E10" s="71" t="str">
        <x:v>Common</x:v>
      </x:c>
      <x:c r="F10" s="71" t="n">
        <x:v>16</x:v>
      </x:c>
      <x:c r="G10" s="71" t="str">
        <x:v>Leaf / Vine</x:v>
      </x:c>
      <x:c r="H10" s="71" t="str">
        <x:v>Moss / Lichen</x:v>
      </x:c>
      <x:c r="I10" s="71" t="str">
        <x:v>Root</x:v>
      </x:c>
      <x:c r="J10" s="71" t="str">
        <x:v>Leaf / Vine + Moss / Lichen + Root</x:v>
      </x:c>
      <x:c r="K10" s="71" t="str">
        <x:v>Optional fourth slot: spider, gecko, earth, or mobility component.</x:v>
      </x:c>
      <x:c r="L10" s="71" t="str">
        <x:v>Optional</x:v>
      </x:c>
      <x:c r="M10" s="71" t="str">
        <x:v>1 hour</x:v>
      </x:c>
      <x:c r="N10" s="71" t="str">
        <x:v>The drinker gains a climbing speed equal to walking speed and Advantage on Strength (Athletics) checks made to climb.</x:v>
      </x:c>
      <x:c r="O10" s="71" t="str"/>
      <x:c r="P10" s="71" t="str"/>
      <x:c r="Q10" s="71" t="str"/>
      <x:c r="R10" s="71" t="str"/>
      <x:c r="S10" s="71" t="str"/>
      <x:c r="T10" s="71" t="str"/>
      <x:c r="U10" s="71" t="str">
        <x:v>Bonus Action to use or apply</x:v>
      </x:c>
      <x:c r="V10" s="49" t="str"/>
    </x:row>
    <x:row r="11">
      <x:c r="A11" s="48" t="str">
        <x:v>Potions</x:v>
      </x:c>
      <x:c r="B11" s="71" t="str">
        <x:v>Potion of Comprehension</x:v>
      </x:c>
      <x:c r="C11" s="71" t="str"/>
      <x:c r="D11" s="71" t="str"/>
      <x:c r="E11" s="71" t="str">
        <x:v>Common</x:v>
      </x:c>
      <x:c r="F11" s="71" t="n">
        <x:v>16</x:v>
      </x:c>
      <x:c r="G11" s="71" t="str">
        <x:v>Flower</x:v>
      </x:c>
      <x:c r="H11" s="71" t="str">
        <x:v>Mineral / Salt / Ash</x:v>
      </x:c>
      <x:c r="I11" s="71" t="str">
        <x:v>Root</x:v>
      </x:c>
      <x:c r="J11" s="71" t="str">
        <x:v>Flower + Mineral / Salt / Ash + Root</x:v>
      </x:c>
      <x:c r="K11" s="71" t="str">
        <x:v>Optional fourth slot: psychic, linguistic, or scribe-aligned essence.</x:v>
      </x:c>
      <x:c r="L11" s="71" t="str">
        <x:v>Optional</x:v>
      </x:c>
      <x:c r="M11" s="71" t="str">
        <x:v>1 hour</x:v>
      </x:c>
      <x:c r="N11" s="71" t="str">
        <x:v>The drinker understands the literal meaning of spoken and written languages they perceive.</x:v>
      </x:c>
      <x:c r="O11" s="71" t="str"/>
      <x:c r="P11" s="71" t="str"/>
      <x:c r="Q11" s="71" t="str"/>
      <x:c r="R11" s="71" t="str"/>
      <x:c r="S11" s="71" t="str"/>
      <x:c r="T11" s="71" t="str"/>
      <x:c r="U11" s="71" t="str">
        <x:v>Bonus Action to use or apply</x:v>
      </x:c>
      <x:c r="V11" s="49" t="str"/>
    </x:row>
    <x:row r="12">
      <x:c r="A12" s="48" t="str">
        <x:v>Potions</x:v>
      </x:c>
      <x:c r="B12" s="71" t="str">
        <x:v>Potion of Diminution</x:v>
      </x:c>
      <x:c r="C12" s="71" t="str"/>
      <x:c r="D12" s="71" t="str"/>
      <x:c r="E12" s="71" t="str">
        <x:v>Rare</x:v>
      </x:c>
      <x:c r="F12" s="71" t="n">
        <x:v>28</x:v>
      </x:c>
      <x:c r="G12" s="71" t="str">
        <x:v>Mushroom</x:v>
      </x:c>
      <x:c r="H12" s="71" t="str">
        <x:v>Root</x:v>
      </x:c>
      <x:c r="I12" s="71" t="str">
        <x:v>Flower</x:v>
      </x:c>
      <x:c r="J12" s="71" t="str">
        <x:v>Mushroom + Root + Flower</x:v>
      </x:c>
      <x:c r="K12" s="71" t="str">
        <x:v>Optional fourth slot: transmutation enhancer or size-altering essence.</x:v>
      </x:c>
      <x:c r="L12" s="71" t="str">
        <x:v>Optional</x:v>
      </x:c>
      <x:c r="M12" s="71" t="str">
        <x:v>1d4 hours</x:v>
      </x:c>
      <x:c r="N12" s="71" t="str">
        <x:v>The drinker is affected as if by the reduce effect of Enlarge/Reduce.</x:v>
      </x:c>
      <x:c r="O12" s="71" t="str"/>
      <x:c r="P12" s="71" t="str"/>
      <x:c r="Q12" s="71" t="str"/>
      <x:c r="R12" s="71" t="str"/>
      <x:c r="S12" s="71" t="str"/>
      <x:c r="T12" s="71" t="str"/>
      <x:c r="U12" s="71" t="str">
        <x:v>Bonus Action to use or apply</x:v>
      </x:c>
      <x:c r="V12" s="49" t="str"/>
    </x:row>
    <x:row r="13">
      <x:c r="A13" s="48" t="str">
        <x:v>Potions</x:v>
      </x:c>
      <x:c r="B13" s="71" t="str">
        <x:v>Potion of Dragon's Majesty</x:v>
      </x:c>
      <x:c r="C13" s="71" t="str"/>
      <x:c r="D13" s="71" t="str"/>
      <x:c r="E13" s="71" t="str">
        <x:v>Legendary</x:v>
      </x:c>
      <x:c r="F13" s="71" t="n">
        <x:v>40</x:v>
      </x:c>
      <x:c r="G13" s="71" t="str">
        <x:v>Mushroom</x:v>
      </x:c>
      <x:c r="H13" s="71" t="str">
        <x:v>Thorn / Bark / Wood</x:v>
      </x:c>
      <x:c r="I13" s="71" t="str">
        <x:v>Mineral / Salt / Ash</x:v>
      </x:c>
      <x:c r="J13" s="71" t="str">
        <x:v>Mushroom + Thorn / Bark / Wood + Mineral / Salt / Ash</x:v>
      </x:c>
      <x:c r="K13" s="71" t="str">
        <x:v>Required fourth slot: dragon gland, blood, scale essence, or another draconic component.</x:v>
      </x:c>
      <x:c r="L13" s="71" t="str">
        <x:v>Required</x:v>
      </x:c>
      <x:c r="M13" s="71" t="str">
        <x:v>1 hour</x:v>
      </x:c>
      <x:c r="N13" s="71" t="str">
        <x:v>The drinker transforms or gains draconic majesty by DM ruling, often including flight, breath, or imposing presence.</x:v>
      </x:c>
      <x:c r="O13" s="71" t="str"/>
      <x:c r="P13" s="71" t="str"/>
      <x:c r="Q13" s="71" t="str"/>
      <x:c r="R13" s="71" t="str"/>
      <x:c r="S13" s="71" t="str"/>
      <x:c r="T13" s="71" t="str"/>
      <x:c r="U13" s="71" t="str">
        <x:v>Bonus Action to use or apply</x:v>
      </x:c>
      <x:c r="V13" s="49" t="str"/>
    </x:row>
    <x:row r="14">
      <x:c r="A14" s="48" t="str">
        <x:v>Potions</x:v>
      </x:c>
      <x:c r="B14" s="71" t="str">
        <x:v>Potion of Fire Breath</x:v>
      </x:c>
      <x:c r="C14" s="71" t="str"/>
      <x:c r="D14" s="71" t="str"/>
      <x:c r="E14" s="71" t="str">
        <x:v>Uncommon</x:v>
      </x:c>
      <x:c r="F14" s="71" t="n">
        <x:v>22</x:v>
      </x:c>
      <x:c r="G14" s="71" t="str">
        <x:v>Mineral / Salt / Ash</x:v>
      </x:c>
      <x:c r="H14" s="71" t="str">
        <x:v>Sap / Resin</x:v>
      </x:c>
      <x:c r="I14" s="71" t="str">
        <x:v>Thorn / Bark / Wood</x:v>
      </x:c>
      <x:c r="J14" s="71" t="str">
        <x:v>Mineral / Salt / Ash + Sap / Resin + Thorn / Bark / Wood</x:v>
      </x:c>
      <x:c r="K14" s="71" t="str">
        <x:v>Required fourth slot: fire essence or dragon gland.</x:v>
      </x:c>
      <x:c r="L14" s="71" t="str">
        <x:v>Required</x:v>
      </x:c>
      <x:c r="M14" s="71" t="str">
        <x:v>1 hour or 3 uses</x:v>
      </x:c>
      <x:c r="N14" s="71" t="str">
        <x:v>The drinker can exhale fire up to three times; creatures in the area make a Dexterity save or take fire damage.</x:v>
      </x:c>
      <x:c r="O14" s="71" t="str"/>
      <x:c r="P14" s="71" t="str"/>
      <x:c r="Q14" s="71" t="str"/>
      <x:c r="R14" s="71" t="str"/>
      <x:c r="S14" s="71" t="str"/>
      <x:c r="T14" s="71" t="str"/>
      <x:c r="U14" s="71" t="str">
        <x:v>Bonus Action to use or apply</x:v>
      </x:c>
      <x:c r="V14" s="49" t="str"/>
    </x:row>
    <x:row r="15">
      <x:c r="A15" s="48" t="str">
        <x:v>Potions</x:v>
      </x:c>
      <x:c r="B15" s="71" t="str">
        <x:v>Potion of Flying</x:v>
      </x:c>
      <x:c r="C15" s="71" t="str"/>
      <x:c r="D15" s="71" t="str"/>
      <x:c r="E15" s="71" t="str">
        <x:v>Very Rare</x:v>
      </x:c>
      <x:c r="F15" s="71" t="n">
        <x:v>34</x:v>
      </x:c>
      <x:c r="G15" s="71" t="str">
        <x:v>Leaf / Vine</x:v>
      </x:c>
      <x:c r="H15" s="71" t="str">
        <x:v>Flower</x:v>
      </x:c>
      <x:c r="I15" s="71" t="str">
        <x:v>Sap / Resin</x:v>
      </x:c>
      <x:c r="J15" s="71" t="str">
        <x:v>Leaf / Vine + Flower + Sap / Resin</x:v>
      </x:c>
      <x:c r="K15" s="71" t="str">
        <x:v>Optional fourth slot: air essence, wing membrane, or flight enhancer.</x:v>
      </x:c>
      <x:c r="L15" s="71" t="str">
        <x:v>Optional</x:v>
      </x:c>
      <x:c r="M15" s="71" t="str">
        <x:v>1 hour</x:v>
      </x:c>
      <x:c r="N15" s="71" t="str">
        <x:v>The drinker gains a flying speed equal to walking speed and can hover by DM ruling.</x:v>
      </x:c>
      <x:c r="O15" s="71" t="str"/>
      <x:c r="P15" s="71" t="str"/>
      <x:c r="Q15" s="71" t="str"/>
      <x:c r="R15" s="71" t="str"/>
      <x:c r="S15" s="71" t="str"/>
      <x:c r="T15" s="71" t="str"/>
      <x:c r="U15" s="71" t="str">
        <x:v>Bonus Action to use or apply</x:v>
      </x:c>
      <x:c r="V15" s="49" t="str"/>
    </x:row>
    <x:row r="16">
      <x:c r="A16" s="48" t="str">
        <x:v>Potions</x:v>
      </x:c>
      <x:c r="B16" s="71" t="str">
        <x:v>Potion of Gaseous Form</x:v>
      </x:c>
      <x:c r="C16" s="71" t="str"/>
      <x:c r="D16" s="71" t="str"/>
      <x:c r="E16" s="71" t="str">
        <x:v>Rare</x:v>
      </x:c>
      <x:c r="F16" s="71" t="n">
        <x:v>28</x:v>
      </x:c>
      <x:c r="G16" s="71" t="str">
        <x:v>Leaf / Vine</x:v>
      </x:c>
      <x:c r="H16" s="71" t="str">
        <x:v>Flower</x:v>
      </x:c>
      <x:c r="I16" s="71" t="str">
        <x:v>Mineral / Salt / Ash</x:v>
      </x:c>
      <x:c r="J16" s="71" t="str">
        <x:v>Leaf / Vine + Flower + Mineral / Salt / Ash</x:v>
      </x:c>
      <x:c r="K16" s="71" t="str">
        <x:v>Optional fourth slot: air, mist, or phase essence.</x:v>
      </x:c>
      <x:c r="L16" s="71" t="str">
        <x:v>Optional</x:v>
      </x:c>
      <x:c r="M16" s="71" t="str">
        <x:v>1 hour</x:v>
      </x:c>
      <x:c r="N16" s="71" t="str">
        <x:v>The drinker gains the effect of Gaseous Form.</x:v>
      </x:c>
      <x:c r="O16" s="71" t="str"/>
      <x:c r="P16" s="71" t="str"/>
      <x:c r="Q16" s="71" t="str"/>
      <x:c r="R16" s="71" t="str"/>
      <x:c r="S16" s="71" t="str"/>
      <x:c r="T16" s="71" t="str"/>
      <x:c r="U16" s="71" t="str">
        <x:v>Bonus Action to use or apply</x:v>
      </x:c>
      <x:c r="V16" s="49" t="str"/>
    </x:row>
    <x:row r="17">
      <x:c r="A17" s="48" t="str">
        <x:v>Potions</x:v>
      </x:c>
      <x:c r="B17" s="71" t="str">
        <x:v>Potion of Giant Size</x:v>
      </x:c>
      <x:c r="C17" s="71" t="str"/>
      <x:c r="D17" s="71" t="str"/>
      <x:c r="E17" s="71" t="str">
        <x:v>Legendary</x:v>
      </x:c>
      <x:c r="F17" s="71" t="n">
        <x:v>40</x:v>
      </x:c>
      <x:c r="G17" s="71" t="str">
        <x:v>Root</x:v>
      </x:c>
      <x:c r="H17" s="71" t="str">
        <x:v>Thorn / Bark / Wood</x:v>
      </x:c>
      <x:c r="I17" s="71" t="str">
        <x:v>Mushroom</x:v>
      </x:c>
      <x:c r="J17" s="71" t="str">
        <x:v>Root + Thorn / Bark / Wood + Mushroom</x:v>
      </x:c>
      <x:c r="K17" s="71" t="str">
        <x:v>Required fourth slot: giant blood, giant marrow, or mythic growth catalyst.</x:v>
      </x:c>
      <x:c r="L17" s="71" t="str">
        <x:v>Required</x:v>
      </x:c>
      <x:c r="M17" s="71" t="str">
        <x:v>24 hours</x:v>
      </x:c>
      <x:c r="N17" s="71" t="str">
        <x:v>The drinker becomes Huge, gains increased reach, and deals extra weapon damage by DM ruling.</x:v>
      </x:c>
      <x:c r="O17" s="71" t="str"/>
      <x:c r="P17" s="71" t="str"/>
      <x:c r="Q17" s="71" t="str"/>
      <x:c r="R17" s="71" t="str"/>
      <x:c r="S17" s="71" t="str"/>
      <x:c r="T17" s="71" t="str"/>
      <x:c r="U17" s="71" t="str">
        <x:v>Bonus Action to use or apply</x:v>
      </x:c>
      <x:c r="V17" s="49" t="str"/>
    </x:row>
    <x:row r="18">
      <x:c r="A18" s="48" t="str">
        <x:v>Potions</x:v>
      </x:c>
      <x:c r="B18" s="71" t="str">
        <x:v>Potion of Growth</x:v>
      </x:c>
      <x:c r="C18" s="71" t="str"/>
      <x:c r="D18" s="71" t="str"/>
      <x:c r="E18" s="71" t="str">
        <x:v>Uncommon</x:v>
      </x:c>
      <x:c r="F18" s="71" t="n">
        <x:v>22</x:v>
      </x:c>
      <x:c r="G18" s="71" t="str">
        <x:v>Root</x:v>
      </x:c>
      <x:c r="H18" s="71" t="str">
        <x:v>Thorn / Bark / Wood</x:v>
      </x:c>
      <x:c r="I18" s="71" t="str">
        <x:v>Mushroom</x:v>
      </x:c>
      <x:c r="J18" s="71" t="str">
        <x:v>Root + Thorn / Bark / Wood + Mushroom</x:v>
      </x:c>
      <x:c r="K18" s="71" t="str">
        <x:v>Optional fourth slot: giant blood or transmutation enhancer.</x:v>
      </x:c>
      <x:c r="L18" s="71" t="str">
        <x:v>Optional</x:v>
      </x:c>
      <x:c r="M18" s="71" t="str">
        <x:v>1d4 hours</x:v>
      </x:c>
      <x:c r="N18" s="71" t="str">
        <x:v>The drinker is affected as if by the enlarge effect of Enlarge/Reduce.</x:v>
      </x:c>
      <x:c r="O18" s="71" t="str"/>
      <x:c r="P18" s="71" t="str"/>
      <x:c r="Q18" s="71" t="str"/>
      <x:c r="R18" s="71" t="str"/>
      <x:c r="S18" s="71" t="str"/>
      <x:c r="T18" s="71" t="str"/>
      <x:c r="U18" s="71" t="str">
        <x:v>Bonus Action to use or apply</x:v>
      </x:c>
      <x:c r="V18" s="49" t="str"/>
    </x:row>
    <x:row r="19">
      <x:c r="A19" s="48" t="str">
        <x:v>Potions</x:v>
      </x:c>
      <x:c r="B19" s="71" t="str">
        <x:v>Potion of Healing</x:v>
      </x:c>
      <x:c r="C19" s="71" t="str"/>
      <x:c r="D19" s="71" t="str"/>
      <x:c r="E19" s="71" t="str">
        <x:v>Common</x:v>
      </x:c>
      <x:c r="F19" s="71" t="n">
        <x:v>16</x:v>
      </x:c>
      <x:c r="G19" s="71" t="str">
        <x:v>Mushroom</x:v>
      </x:c>
      <x:c r="H19" s="71" t="str">
        <x:v>Mushroom</x:v>
      </x:c>
      <x:c r="I19" s="71" t="str">
        <x:v>Root</x:v>
      </x:c>
      <x:c r="J19" s="71" t="str">
        <x:v>Mushroom + Mushroom + Root</x:v>
      </x:c>
      <x:c r="K19" s="71" t="str">
        <x:v>Optional fourth slot: holy/vital component, distillation agent, or restorative monster component.</x:v>
      </x:c>
      <x:c r="L19" s="71" t="str">
        <x:v>Optional</x:v>
      </x:c>
      <x:c r="M19" s="71" t="str">
        <x:v>Instant</x:v>
      </x:c>
      <x:c r="N19" s="71" t="str">
        <x:v>The drinker regains 2d4 + 2 HP. Ingredient bonuses scale the dice and attached flat modifier.</x:v>
      </x:c>
      <x:c r="O19" s="71" t="str"/>
      <x:c r="P19" s="71" t="str"/>
      <x:c r="Q19" s="71" t="str"/>
      <x:c r="R19" s="71" t="str"/>
      <x:c r="S19" s="71" t="str"/>
      <x:c r="T19" s="71" t="str"/>
      <x:c r="U19" s="71" t="str">
        <x:v>Bonus Action to use or apply</x:v>
      </x:c>
      <x:c r="V19" s="49" t="str"/>
    </x:row>
    <x:row r="20">
      <x:c r="A20" s="48" t="str">
        <x:v>Potions</x:v>
      </x:c>
      <x:c r="B20" s="71" t="str">
        <x:v>Potion of Heroism</x:v>
      </x:c>
      <x:c r="C20" s="71" t="str"/>
      <x:c r="D20" s="71" t="str"/>
      <x:c r="E20" s="71" t="str">
        <x:v>Rare</x:v>
      </x:c>
      <x:c r="F20" s="71" t="n">
        <x:v>28</x:v>
      </x:c>
      <x:c r="G20" s="71" t="str">
        <x:v>Root</x:v>
      </x:c>
      <x:c r="H20" s="71" t="str">
        <x:v>Flower</x:v>
      </x:c>
      <x:c r="I20" s="71" t="str">
        <x:v>Thorn / Bark / Wood</x:v>
      </x:c>
      <x:c r="J20" s="71" t="str">
        <x:v>Root + Flower + Thorn / Bark / Wood</x:v>
      </x:c>
      <x:c r="K20" s="71" t="str">
        <x:v>Optional fourth slot: holy/vital component or courage-aligned essence.</x:v>
      </x:c>
      <x:c r="L20" s="71" t="str">
        <x:v>Optional</x:v>
      </x:c>
      <x:c r="M20" s="71" t="str">
        <x:v>1 hour</x:v>
      </x:c>
      <x:c r="N20" s="71" t="str">
        <x:v>The drinker gains temporary HP and is affected as if by Bless, by DM ruling.</x:v>
      </x:c>
      <x:c r="O20" s="71" t="str"/>
      <x:c r="P20" s="71" t="str"/>
      <x:c r="Q20" s="71" t="str"/>
      <x:c r="R20" s="71" t="str"/>
      <x:c r="S20" s="71" t="str"/>
      <x:c r="T20" s="71" t="str"/>
      <x:c r="U20" s="71" t="str">
        <x:v>Bonus Action to use or apply</x:v>
      </x:c>
      <x:c r="V20" s="49" t="str"/>
    </x:row>
    <x:row r="21">
      <x:c r="A21" s="48" t="str">
        <x:v>Potions</x:v>
      </x:c>
      <x:c r="B21" s="71" t="str">
        <x:v>Potion of Invisibility</x:v>
      </x:c>
      <x:c r="C21" s="71" t="str"/>
      <x:c r="D21" s="71" t="str"/>
      <x:c r="E21" s="71" t="str">
        <x:v>Very Rare</x:v>
      </x:c>
      <x:c r="F21" s="71" t="n">
        <x:v>34</x:v>
      </x:c>
      <x:c r="G21" s="71" t="str">
        <x:v>Moss / Lichen</x:v>
      </x:c>
      <x:c r="H21" s="71" t="str">
        <x:v>Flower</x:v>
      </x:c>
      <x:c r="I21" s="71" t="str">
        <x:v>Leaf / Vine</x:v>
      </x:c>
      <x:c r="J21" s="71" t="str">
        <x:v>Moss / Lichen + Flower + Leaf / Vine</x:v>
      </x:c>
      <x:c r="K21" s="71" t="str">
        <x:v>Optional fourth slot: shadow, phase, or light-bending essence.</x:v>
      </x:c>
      <x:c r="L21" s="71" t="str">
        <x:v>Optional</x:v>
      </x:c>
      <x:c r="M21" s="71" t="str">
        <x:v>1 hour</x:v>
      </x:c>
      <x:c r="N21" s="71" t="str">
        <x:v>The drinker becomes invisible until they attack, cast a spell, or the duration ends.</x:v>
      </x:c>
      <x:c r="O21" s="71" t="str"/>
      <x:c r="P21" s="71" t="str"/>
      <x:c r="Q21" s="71" t="str"/>
      <x:c r="R21" s="71" t="str"/>
      <x:c r="S21" s="71" t="str"/>
      <x:c r="T21" s="71" t="str"/>
      <x:c r="U21" s="71" t="str">
        <x:v>Bonus Action to use or apply</x:v>
      </x:c>
      <x:c r="V21" s="49" t="str"/>
    </x:row>
    <x:row r="22">
      <x:c r="A22" s="48" t="str">
        <x:v>Potions</x:v>
      </x:c>
      <x:c r="B22" s="71" t="str">
        <x:v>Potion of Invulnerability</x:v>
      </x:c>
      <x:c r="C22" s="71" t="str"/>
      <x:c r="D22" s="71" t="str"/>
      <x:c r="E22" s="71" t="str">
        <x:v>Legendary</x:v>
      </x:c>
      <x:c r="F22" s="71" t="n">
        <x:v>40</x:v>
      </x:c>
      <x:c r="G22" s="71" t="str">
        <x:v>Thorn / Bark / Wood</x:v>
      </x:c>
      <x:c r="H22" s="71" t="str">
        <x:v>Root</x:v>
      </x:c>
      <x:c r="I22" s="71" t="str">
        <x:v>Mineral / Salt / Ash</x:v>
      </x:c>
      <x:c r="J22" s="71" t="str">
        <x:v>Thorn / Bark / Wood + Root + Mineral / Salt / Ash</x:v>
      </x:c>
      <x:c r="K22" s="71" t="str">
        <x:v>Optional fourth slot: holy, force, diamond, or mythic warding component.</x:v>
      </x:c>
      <x:c r="L22" s="71" t="str">
        <x:v>Optional</x:v>
      </x:c>
      <x:c r="M22" s="71" t="str">
        <x:v>1 minute</x:v>
      </x:c>
      <x:c r="N22" s="71" t="str">
        <x:v>The drinker gains resistance to all damage.</x:v>
      </x:c>
      <x:c r="O22" s="71" t="str"/>
      <x:c r="P22" s="71" t="str"/>
      <x:c r="Q22" s="71" t="str"/>
      <x:c r="R22" s="71" t="str"/>
      <x:c r="S22" s="71" t="str"/>
      <x:c r="T22" s="71" t="str"/>
      <x:c r="U22" s="71" t="str">
        <x:v>Bonus Action to use or apply</x:v>
      </x:c>
      <x:c r="V22" s="49" t="str"/>
    </x:row>
    <x:row r="23">
      <x:c r="A23" s="48" t="str">
        <x:v>Potions</x:v>
      </x:c>
      <x:c r="B23" s="71" t="str">
        <x:v>Potion of Mind Reading</x:v>
      </x:c>
      <x:c r="C23" s="71" t="str"/>
      <x:c r="D23" s="71" t="str"/>
      <x:c r="E23" s="71" t="str">
        <x:v>Rare</x:v>
      </x:c>
      <x:c r="F23" s="71" t="n">
        <x:v>28</x:v>
      </x:c>
      <x:c r="G23" s="71" t="str">
        <x:v>Flower</x:v>
      </x:c>
      <x:c r="H23" s="71" t="str">
        <x:v>Mineral / Salt / Ash</x:v>
      </x:c>
      <x:c r="I23" s="71" t="str">
        <x:v>Moss / Lichen</x:v>
      </x:c>
      <x:c r="J23" s="71" t="str">
        <x:v>Flower + Mineral / Salt / Ash + Moss / Lichen</x:v>
      </x:c>
      <x:c r="K23" s="71" t="str">
        <x:v>Optional fourth slot: psychic essence or telepathic monster component.</x:v>
      </x:c>
      <x:c r="L23" s="71" t="str">
        <x:v>Optional</x:v>
      </x:c>
      <x:c r="M23" s="71" t="str">
        <x:v>1 hour</x:v>
      </x:c>
      <x:c r="N23" s="71" t="str">
        <x:v>The drinker gains the effect of Detect Thoughts.</x:v>
      </x:c>
      <x:c r="O23" s="71" t="str"/>
      <x:c r="P23" s="71" t="str"/>
      <x:c r="Q23" s="71" t="str"/>
      <x:c r="R23" s="71" t="str"/>
      <x:c r="S23" s="71" t="str"/>
      <x:c r="T23" s="71" t="str"/>
      <x:c r="U23" s="71" t="str">
        <x:v>Bonus Action to use or apply</x:v>
      </x:c>
      <x:c r="V23" s="49" t="str"/>
    </x:row>
    <x:row r="24">
      <x:c r="A24" s="48" t="str">
        <x:v>Potions</x:v>
      </x:c>
      <x:c r="B24" s="71" t="str">
        <x:v>Potion of Regeneration</x:v>
      </x:c>
      <x:c r="C24" s="71" t="str"/>
      <x:c r="D24" s="71" t="str"/>
      <x:c r="E24" s="71" t="str">
        <x:v>Rare</x:v>
      </x:c>
      <x:c r="F24" s="71" t="n">
        <x:v>28</x:v>
      </x:c>
      <x:c r="G24" s="71" t="str">
        <x:v>Mushroom</x:v>
      </x:c>
      <x:c r="H24" s="71" t="str">
        <x:v>Sap / Resin</x:v>
      </x:c>
      <x:c r="I24" s="71" t="str">
        <x:v>Root</x:v>
      </x:c>
      <x:c r="J24" s="71" t="str">
        <x:v>Mushroom + Sap / Resin + Root</x:v>
      </x:c>
      <x:c r="K24" s="71" t="str">
        <x:v>Optional fourth slot: holy/vital component, troll blood, or regeneration enhancer.</x:v>
      </x:c>
      <x:c r="L24" s="71" t="str">
        <x:v>Optional</x:v>
      </x:c>
      <x:c r="M24" s="71" t="str">
        <x:v>1 minute</x:v>
      </x:c>
      <x:c r="N24" s="71" t="str">
        <x:v>At the start of each of the drinker's turns, the drinker regains 1d4 HP for the duration.</x:v>
      </x:c>
      <x:c r="O24" s="71" t="str"/>
      <x:c r="P24" s="71" t="str"/>
      <x:c r="Q24" s="71" t="str"/>
      <x:c r="R24" s="71" t="str"/>
      <x:c r="S24" s="71" t="str"/>
      <x:c r="T24" s="71" t="str"/>
      <x:c r="U24" s="71" t="str">
        <x:v>Bonus Action to use or apply</x:v>
      </x:c>
      <x:c r="V24" s="49" t="str"/>
    </x:row>
    <x:row r="25">
      <x:c r="A25" s="48" t="str">
        <x:v>Potions</x:v>
      </x:c>
      <x:c r="B25" s="71" t="str">
        <x:v>Potion of Resistance</x:v>
      </x:c>
      <x:c r="C25" s="71" t="str">
        <x:v>Potion of X Resistance</x:v>
      </x:c>
      <x:c r="D25" s="71" t="str">
        <x:v>Fourth slot sets damage type.</x:v>
      </x:c>
      <x:c r="E25" s="71" t="str">
        <x:v>Uncommon</x:v>
      </x:c>
      <x:c r="F25" s="71" t="n">
        <x:v>22</x:v>
      </x:c>
      <x:c r="G25" s="71" t="str">
        <x:v>Moss / Lichen</x:v>
      </x:c>
      <x:c r="H25" s="71" t="str">
        <x:v>Root</x:v>
      </x:c>
      <x:c r="I25" s="71" t="str">
        <x:v>Mineral / Salt / Ash</x:v>
      </x:c>
      <x:c r="J25" s="71" t="str">
        <x:v>Moss / Lichen + Root + Mineral / Salt / Ash</x:v>
      </x:c>
      <x:c r="K25" s="71" t="str">
        <x:v>Required fourth slot: essence or monster component that determines the damage type.</x:v>
      </x:c>
      <x:c r="L25" s="71" t="str">
        <x:v>Required</x:v>
      </x:c>
      <x:c r="M25" s="71" t="str">
        <x:v>1 hour</x:v>
      </x:c>
      <x:c r="N25" s="71" t="str">
        <x:v>The drinker gains resistance to one damage type determined by the chosen fourth-slot component.</x:v>
      </x:c>
      <x:c r="O25" s="71" t="str"/>
      <x:c r="P25" s="71" t="str"/>
      <x:c r="Q25" s="71" t="str"/>
      <x:c r="R25" s="71" t="str"/>
      <x:c r="S25" s="71" t="str"/>
      <x:c r="T25" s="71" t="str"/>
      <x:c r="U25" s="71" t="str">
        <x:v>Bonus Action to use or apply</x:v>
      </x:c>
      <x:c r="V25" s="49" t="str">
        <x:v>Legacy generic resistance formula; Potion of X Resistance is the preferred dynamic entry.</x:v>
      </x:c>
    </x:row>
    <x:row r="26">
      <x:c r="A26" s="48" t="str">
        <x:v>Potions</x:v>
      </x:c>
      <x:c r="B26" s="71" t="str">
        <x:v>Potion of Speed</x:v>
      </x:c>
      <x:c r="C26" s="71" t="str"/>
      <x:c r="D26" s="71" t="str"/>
      <x:c r="E26" s="71" t="str">
        <x:v>Very Rare</x:v>
      </x:c>
      <x:c r="F26" s="71" t="n">
        <x:v>34</x:v>
      </x:c>
      <x:c r="G26" s="71" t="str">
        <x:v>Leaf / Vine</x:v>
      </x:c>
      <x:c r="H26" s="71" t="str">
        <x:v>Flower</x:v>
      </x:c>
      <x:c r="I26" s="71" t="str">
        <x:v>Sap / Resin</x:v>
      </x:c>
      <x:c r="J26" s="71" t="str">
        <x:v>Leaf / Vine + Flower + Sap / Resin</x:v>
      </x:c>
      <x:c r="K26" s="71" t="str">
        <x:v>Optional fourth slot: haste enhancer, lightning essence, or quickening monster component.</x:v>
      </x:c>
      <x:c r="L26" s="71" t="str">
        <x:v>Optional</x:v>
      </x:c>
      <x:c r="M26" s="71" t="str">
        <x:v>1 minute</x:v>
      </x:c>
      <x:c r="N26" s="71" t="str">
        <x:v>The drinker gains the effect of Haste.</x:v>
      </x:c>
      <x:c r="O26" s="71" t="str"/>
      <x:c r="P26" s="71" t="str"/>
      <x:c r="Q26" s="71" t="str"/>
      <x:c r="R26" s="71" t="str"/>
      <x:c r="S26" s="71" t="str"/>
      <x:c r="T26" s="71" t="str"/>
      <x:c r="U26" s="71" t="str">
        <x:v>Bonus Action to use or apply</x:v>
      </x:c>
      <x:c r="V26" s="49" t="str"/>
    </x:row>
    <x:row r="27">
      <x:c r="A27" s="48" t="str">
        <x:v>Potions</x:v>
      </x:c>
      <x:c r="B27" s="71" t="str">
        <x:v>Potion of Storm Giant Strength</x:v>
      </x:c>
      <x:c r="C27" s="71" t="str"/>
      <x:c r="D27" s="71" t="str"/>
      <x:c r="E27" s="71" t="str">
        <x:v>Legendary</x:v>
      </x:c>
      <x:c r="F27" s="71" t="n">
        <x:v>40</x:v>
      </x:c>
      <x:c r="G27" s="71" t="str">
        <x:v>Root</x:v>
      </x:c>
      <x:c r="H27" s="71" t="str">
        <x:v>Thorn / Bark / Wood</x:v>
      </x:c>
      <x:c r="I27" s="71" t="str">
        <x:v>Mineral / Salt / Ash</x:v>
      </x:c>
      <x:c r="J27" s="71" t="str">
        <x:v>Root + Thorn / Bark / Wood + Mineral / Salt / Ash</x:v>
      </x:c>
      <x:c r="K27" s="71" t="str">
        <x:v>Required fourth slot: storm giant blood, storm essence, or giant-derived component.</x:v>
      </x:c>
      <x:c r="L27" s="71" t="str">
        <x:v>Required</x:v>
      </x:c>
      <x:c r="M27" s="71" t="str">
        <x:v>1 hour</x:v>
      </x:c>
      <x:c r="N27" s="71" t="str">
        <x:v>The drinker's Strength becomes 29 unless their Strength is already equal or higher.</x:v>
      </x:c>
      <x:c r="O27" s="71" t="str"/>
      <x:c r="P27" s="71" t="str"/>
      <x:c r="Q27" s="71" t="str"/>
      <x:c r="R27" s="71" t="str"/>
      <x:c r="S27" s="71" t="str"/>
      <x:c r="T27" s="71" t="str"/>
      <x:c r="U27" s="71" t="str">
        <x:v>Bonus Action to use or apply</x:v>
      </x:c>
      <x:c r="V27" s="49" t="str"/>
    </x:row>
    <x:row r="28">
      <x:c r="A28" s="48" t="str">
        <x:v>Potions</x:v>
      </x:c>
      <x:c r="B28" s="71" t="str">
        <x:v>Potion of Watchful Rest</x:v>
      </x:c>
      <x:c r="C28" s="71" t="str"/>
      <x:c r="D28" s="71" t="str"/>
      <x:c r="E28" s="71" t="str">
        <x:v>Common</x:v>
      </x:c>
      <x:c r="F28" s="71" t="n">
        <x:v>16</x:v>
      </x:c>
      <x:c r="G28" s="71" t="str">
        <x:v>Flower</x:v>
      </x:c>
      <x:c r="H28" s="71" t="str">
        <x:v>Moss / Lichen</x:v>
      </x:c>
      <x:c r="I28" s="71" t="str">
        <x:v>Root</x:v>
      </x:c>
      <x:c r="J28" s="71" t="str">
        <x:v>Flower + Moss / Lichen + Root</x:v>
      </x:c>
      <x:c r="K28" s="71" t="str">
        <x:v>Optional fourth slot: dream, moon, or vigilance essence.</x:v>
      </x:c>
      <x:c r="L28" s="71" t="str">
        <x:v>Optional</x:v>
      </x:c>
      <x:c r="M28" s="71" t="str">
        <x:v>8 hours</x:v>
      </x:c>
      <x:c r="N28" s="71" t="str">
        <x:v>The drinker remains alert during rest and can avoid the worst effects of magical sleep by DM ruling.</x:v>
      </x:c>
      <x:c r="O28" s="71" t="str"/>
      <x:c r="P28" s="71" t="str"/>
      <x:c r="Q28" s="71" t="str"/>
      <x:c r="R28" s="71" t="str"/>
      <x:c r="S28" s="71" t="str"/>
      <x:c r="T28" s="71" t="str"/>
      <x:c r="U28" s="71" t="str">
        <x:v>Bonus Action to use or apply</x:v>
      </x:c>
      <x:c r="V28" s="49" t="str"/>
    </x:row>
    <x:row r="29">
      <x:c r="A29" s="48" t="str">
        <x:v>Potions</x:v>
      </x:c>
      <x:c r="B29" s="71" t="str">
        <x:v>Potion of Water Breathing</x:v>
      </x:c>
      <x:c r="C29" s="71" t="str"/>
      <x:c r="D29" s="71" t="str"/>
      <x:c r="E29" s="71" t="str">
        <x:v>Uncommon</x:v>
      </x:c>
      <x:c r="F29" s="71" t="n">
        <x:v>22</x:v>
      </x:c>
      <x:c r="G29" s="71" t="str">
        <x:v>Flower</x:v>
      </x:c>
      <x:c r="H29" s="71" t="str">
        <x:v>Sap / Resin</x:v>
      </x:c>
      <x:c r="I29" s="71" t="str">
        <x:v>Mineral / Salt / Ash</x:v>
      </x:c>
      <x:c r="J29" s="71" t="str">
        <x:v>Flower + Sap / Resin + Mineral / Salt / Ash</x:v>
      </x:c>
      <x:c r="K29" s="71" t="str">
        <x:v>Optional fourth slot: aquatic essence, gill, mucus, or water-aligned monster component.</x:v>
      </x:c>
      <x:c r="L29" s="71" t="str">
        <x:v>Optional</x:v>
      </x:c>
      <x:c r="M29" s="71" t="str">
        <x:v>1 hour</x:v>
      </x:c>
      <x:c r="N29" s="71" t="str">
        <x:v>The drinker can breathe underwater.</x:v>
      </x:c>
      <x:c r="O29" s="71" t="str"/>
      <x:c r="P29" s="71" t="str"/>
      <x:c r="Q29" s="71" t="str"/>
      <x:c r="R29" s="71" t="str"/>
      <x:c r="S29" s="71" t="str"/>
      <x:c r="T29" s="71" t="str"/>
      <x:c r="U29" s="71" t="str">
        <x:v>Bonus Action to use or apply</x:v>
      </x:c>
      <x:c r="V29" s="49" t="str"/>
    </x:row>
    <x:row r="30">
      <x:c r="A30" s="48" t="str">
        <x:v>Potions</x:v>
      </x:c>
      <x:c r="B30" s="71" t="str">
        <x:v>Potion of X Resistance</x:v>
      </x:c>
      <x:c r="C30" s="71" t="str">
        <x:v>Potion of X Resistance</x:v>
      </x:c>
      <x:c r="D30" s="71" t="str">
        <x:v>Fourth slot sets damage type.</x:v>
      </x:c>
      <x:c r="E30" s="71" t="str">
        <x:v>Uncommon</x:v>
      </x:c>
      <x:c r="F30" s="71" t="n">
        <x:v>22</x:v>
      </x:c>
      <x:c r="G30" s="71" t="str">
        <x:v>Moss / Lichen</x:v>
      </x:c>
      <x:c r="H30" s="71" t="str">
        <x:v>Root</x:v>
      </x:c>
      <x:c r="I30" s="71" t="str">
        <x:v>Mineral / Salt / Ash</x:v>
      </x:c>
      <x:c r="J30" s="71" t="str">
        <x:v>Moss / Lichen + Root + Mineral / Salt / Ash</x:v>
      </x:c>
      <x:c r="K30" s="71" t="str">
        <x:v>Required fourth slot: essence or monster component that sets X.</x:v>
      </x:c>
      <x:c r="L30" s="71" t="str">
        <x:v>Required</x:v>
      </x:c>
      <x:c r="M30" s="71" t="str">
        <x:v>1 hour</x:v>
      </x:c>
      <x:c r="N30" s="71" t="str">
        <x:v>The drinker gains resistance to the damage type set by the fourth-slot component.</x:v>
      </x:c>
      <x:c r="O30" s="71" t="str"/>
      <x:c r="P30" s="71" t="str"/>
      <x:c r="Q30" s="71" t="str"/>
      <x:c r="R30" s="71" t="str"/>
      <x:c r="S30" s="71" t="str"/>
      <x:c r="T30" s="71" t="str"/>
      <x:c r="U30" s="71" t="str">
        <x:v>Bonus Action to use or apply</x:v>
      </x:c>
      <x:c r="V30" s="49" t="str"/>
    </x:row>
    <x:row r="31">
      <x:c r="A31" s="48" t="str">
        <x:v>Potions</x:v>
      </x:c>
      <x:c r="B31" s="71" t="str">
        <x:v>Quickstep Tonic</x:v>
      </x:c>
      <x:c r="C31" s="71" t="str"/>
      <x:c r="D31" s="71" t="str"/>
      <x:c r="E31" s="71" t="str">
        <x:v>Uncommon</x:v>
      </x:c>
      <x:c r="F31" s="71" t="n">
        <x:v>22</x:v>
      </x:c>
      <x:c r="G31" s="71" t="str">
        <x:v>Leaf / Vine</x:v>
      </x:c>
      <x:c r="H31" s="71" t="str">
        <x:v>Flower</x:v>
      </x:c>
      <x:c r="I31" s="71" t="str">
        <x:v>Sap / Resin</x:v>
      </x:c>
      <x:c r="J31" s="71" t="str">
        <x:v>Leaf / Vine + Flower + Sap / Resin</x:v>
      </x:c>
      <x:c r="K31" s="71" t="str">
        <x:v>Optional fourth slot: quickening enhancer or lightning/air essence.</x:v>
      </x:c>
      <x:c r="L31" s="71" t="str">
        <x:v>Optional</x:v>
      </x:c>
      <x:c r="M31" s="71" t="str">
        <x:v>1 minute</x:v>
      </x:c>
      <x:c r="N31" s="71" t="str">
        <x:v>The drinker gains a short burst of speed; suggested effect is +10 ft. speed and Advantage on initiative checks.</x:v>
      </x:c>
      <x:c r="O31" s="71" t="str"/>
      <x:c r="P31" s="71" t="str"/>
      <x:c r="Q31" s="71" t="str"/>
      <x:c r="R31" s="71" t="str"/>
      <x:c r="S31" s="71" t="str"/>
      <x:c r="T31" s="71" t="str"/>
      <x:c r="U31" s="71" t="str">
        <x:v>Bonus Action to use or apply</x:v>
      </x:c>
      <x:c r="V31" s="49" t="str"/>
    </x:row>
    <x:row r="32">
      <x:c r="A32" s="48" t="str">
        <x:v>Poisons</x:v>
      </x:c>
      <x:c r="B32" s="71" t="str">
        <x:v>Basic Poison</x:v>
      </x:c>
      <x:c r="C32" s="71" t="str"/>
      <x:c r="D32" s="71" t="str"/>
      <x:c r="E32" s="71" t="str">
        <x:v>Common</x:v>
      </x:c>
      <x:c r="F32" s="71" t="n">
        <x:v>16</x:v>
      </x:c>
      <x:c r="G32" s="71" t="str">
        <x:v>Venom / Poison Plant</x:v>
      </x:c>
      <x:c r="H32" s="71" t="str">
        <x:v>Mushroom</x:v>
      </x:c>
      <x:c r="I32" s="71" t="str">
        <x:v>Root</x:v>
      </x:c>
      <x:c r="J32" s="71" t="str">
        <x:v>Venom / Poison Plant + Mushroom + Root</x:v>
      </x:c>
      <x:c r="K32" s="71" t="str">
        <x:v>Optional fourth slot: monster venom, elemental essence, or poison enhancer.</x:v>
      </x:c>
      <x:c r="L32" s="71" t="str">
        <x:v>Optional</x:v>
      </x:c>
      <x:c r="M32" s="71" t="str">
        <x:v>1 minute after application</x:v>
      </x:c>
      <x:c r="N32" s="71" t="str">
        <x:v>A creature hit by the coated weapon or ammunition must make a Constitution save or take poison damage, per DM ruling.</x:v>
      </x:c>
      <x:c r="O32" s="71" t="str"/>
      <x:c r="P32" s="71" t="str"/>
      <x:c r="Q32" s="71" t="str"/>
      <x:c r="R32" s="71" t="str"/>
      <x:c r="S32" s="71" t="str"/>
      <x:c r="T32" s="71" t="str"/>
      <x:c r="U32" s="71" t="str">
        <x:v>Bonus Action to use or apply</x:v>
      </x:c>
      <x:c r="V32" s="49" t="str"/>
    </x:row>
    <x:row r="33">
      <x:c r="A33" s="48" t="str">
        <x:v>Poisons</x:v>
      </x:c>
      <x:c r="B33" s="71" t="str">
        <x:v>Mindfog Poison</x:v>
      </x:c>
      <x:c r="C33" s="71" t="str"/>
      <x:c r="D33" s="71" t="str"/>
      <x:c r="E33" s="71" t="str">
        <x:v>Rare</x:v>
      </x:c>
      <x:c r="F33" s="71" t="n">
        <x:v>28</x:v>
      </x:c>
      <x:c r="G33" s="71" t="str">
        <x:v>Venom / Poison Plant</x:v>
      </x:c>
      <x:c r="H33" s="71" t="str">
        <x:v>Flower</x:v>
      </x:c>
      <x:c r="I33" s="71" t="str">
        <x:v>Moss / Lichen</x:v>
      </x:c>
      <x:c r="J33" s="71" t="str">
        <x:v>Venom / Poison Plant + Flower + Moss / Lichen</x:v>
      </x:c>
      <x:c r="K33" s="71" t="str">
        <x:v>Required fourth slot: Mindshard Distillate, Aboleth Mucus, or another psychic component.</x:v>
      </x:c>
      <x:c r="L33" s="71" t="str">
        <x:v>Required</x:v>
      </x:c>
      <x:c r="M33" s="71" t="str">
        <x:v>1 minute</x:v>
      </x:c>
      <x:c r="N33" s="71" t="str">
        <x:v>The target makes a Wisdom saving throw. On a failure, it is Confused for 1 minute and repeats the save at the end of each turn.</x:v>
      </x:c>
      <x:c r="O33" s="71" t="str">
        <x:v>Confused</x:v>
      </x:c>
      <x:c r="P33" s="71" t="str"/>
      <x:c r="Q33" s="71" t="str"/>
      <x:c r="R33" s="71" t="str">
        <x:v>Wisdom</x:v>
      </x:c>
      <x:c r="S33" s="71" t="str">
        <x:v>1 minute</x:v>
      </x:c>
      <x:c r="T33" s="71" t="str">
        <x:v>End of each turn</x:v>
      </x:c>
      <x:c r="U33" s="71" t="str">
        <x:v>Bonus Action to use or apply</x:v>
      </x:c>
      <x:c r="V33" s="49" t="str">
        <x:v>Confused is a campaign condition rider defined by the formula text.</x:v>
      </x:c>
    </x:row>
    <x:row r="34">
      <x:c r="A34" s="48" t="str">
        <x:v>Poisons</x:v>
      </x:c>
      <x:c r="B34" s="71" t="str">
        <x:v>Paralytic Venom</x:v>
      </x:c>
      <x:c r="C34" s="71" t="str"/>
      <x:c r="D34" s="71" t="str"/>
      <x:c r="E34" s="71" t="str">
        <x:v>Rare</x:v>
      </x:c>
      <x:c r="F34" s="71" t="n">
        <x:v>28</x:v>
      </x:c>
      <x:c r="G34" s="71" t="str">
        <x:v>Venom / Poison Plant</x:v>
      </x:c>
      <x:c r="H34" s="71" t="str">
        <x:v>Root</x:v>
      </x:c>
      <x:c r="I34" s="71" t="str">
        <x:v>Flower</x:v>
      </x:c>
      <x:c r="J34" s="71" t="str">
        <x:v>Venom / Poison Plant + Root + Flower</x:v>
      </x:c>
      <x:c r="K34" s="71" t="str">
        <x:v>Required fourth slot: Ghoul Ichor or another paralytic component.</x:v>
      </x:c>
      <x:c r="L34" s="71" t="str">
        <x:v>Required</x:v>
      </x:c>
      <x:c r="M34" s="71" t="str">
        <x:v>1 minute</x:v>
      </x:c>
      <x:c r="N34" s="71" t="str">
        <x:v>The target makes a Constitution saving throw. On a failure, it is Paralyzed for 1 minute and repeats the save at the end of each turn.</x:v>
      </x:c>
      <x:c r="O34" s="71" t="str">
        <x:v>Paralyzed</x:v>
      </x:c>
      <x:c r="P34" s="71" t="str"/>
      <x:c r="Q34" s="71" t="str"/>
      <x:c r="R34" s="71" t="str">
        <x:v>Constitution</x:v>
      </x:c>
      <x:c r="S34" s="71" t="str">
        <x:v>1 minute</x:v>
      </x:c>
      <x:c r="T34" s="71" t="str">
        <x:v>End of each turn</x:v>
      </x:c>
      <x:c r="U34" s="71" t="str">
        <x:v>Bonus Action to use or apply</x:v>
      </x:c>
      <x:c r="V34" s="49" t="str">
        <x:v>Save DC bonuses strengthen the poison.</x:v>
      </x:c>
    </x:row>
    <x:row r="35">
      <x:c r="A35" s="48" t="str">
        <x:v>Poisons</x:v>
      </x:c>
      <x:c r="B35" s="71" t="str">
        <x:v>Poison of Charisma Weakening</x:v>
      </x:c>
      <x:c r="C35" s="71" t="str">
        <x:v>Poison of X Weakening</x:v>
      </x:c>
      <x:c r="D35" s="71" t="str">
        <x:v>Named formula variant sets the attacked ability.</x:v>
      </x:c>
      <x:c r="E35" s="71" t="str">
        <x:v>Rare</x:v>
      </x:c>
      <x:c r="F35" s="71" t="n">
        <x:v>28</x:v>
      </x:c>
      <x:c r="G35" s="71" t="str">
        <x:v>Venom / Poison Plant</x:v>
      </x:c>
      <x:c r="H35" s="71" t="str">
        <x:v>Flower</x:v>
      </x:c>
      <x:c r="I35" s="71" t="str">
        <x:v>Sap / Resin</x:v>
      </x:c>
      <x:c r="J35" s="71" t="str">
        <x:v>Venom / Poison Plant + Flower + Sap / Resin</x:v>
      </x:c>
      <x:c r="K35" s="71" t="str">
        <x:v>Optional fourth slot: venom, bile, essence, or monster component that adds a rider or die step.</x:v>
      </x:c>
      <x:c r="L35" s="71" t="str">
        <x:v>Optional</x:v>
      </x:c>
      <x:c r="M35" s="71" t="str">
        <x:v>1 hour</x:v>
      </x:c>
      <x:c r="N35" s="71" t="str">
        <x:v>The target chooses Constitution or Charisma before rolling. On a failed save, Charisma is reduced by 1d6 temporarily.</x:v>
      </x:c>
      <x:c r="O35" s="71" t="str"/>
      <x:c r="P35" s="71" t="str"/>
      <x:c r="Q35" s="71" t="str"/>
      <x:c r="R35" s="71" t="str"/>
      <x:c r="S35" s="71" t="str"/>
      <x:c r="T35" s="71" t="str"/>
      <x:c r="U35" s="71" t="str">
        <x:v>Bonus Action to use or apply</x:v>
      </x:c>
      <x:c r="V35" s="49" t="str"/>
    </x:row>
    <x:row r="36">
      <x:c r="A36" s="48" t="str">
        <x:v>Poisons</x:v>
      </x:c>
      <x:c r="B36" s="71" t="str">
        <x:v>Poison of Constitution Weakening</x:v>
      </x:c>
      <x:c r="C36" s="71" t="str">
        <x:v>Poison of X Weakening</x:v>
      </x:c>
      <x:c r="D36" s="71" t="str">
        <x:v>Named formula variant sets the attacked ability.</x:v>
      </x:c>
      <x:c r="E36" s="71" t="str">
        <x:v>Rare</x:v>
      </x:c>
      <x:c r="F36" s="71" t="n">
        <x:v>28</x:v>
      </x:c>
      <x:c r="G36" s="71" t="str">
        <x:v>Venom / Poison Plant</x:v>
      </x:c>
      <x:c r="H36" s="71" t="str">
        <x:v>Mushroom</x:v>
      </x:c>
      <x:c r="I36" s="71" t="str">
        <x:v>Root</x:v>
      </x:c>
      <x:c r="J36" s="71" t="str">
        <x:v>Venom / Poison Plant + Mushroom + Root</x:v>
      </x:c>
      <x:c r="K36" s="71" t="str">
        <x:v>Optional fourth slot: venom, bile, essence, or monster component that adds a rider or die step.</x:v>
      </x:c>
      <x:c r="L36" s="71" t="str">
        <x:v>Optional</x:v>
      </x:c>
      <x:c r="M36" s="71" t="str">
        <x:v>1 hour</x:v>
      </x:c>
      <x:c r="N36" s="71" t="str">
        <x:v>The target chooses Constitution or Constitution before rolling. On a failed save, Constitution is reduced by 1d6 temporarily.</x:v>
      </x:c>
      <x:c r="O36" s="71" t="str"/>
      <x:c r="P36" s="71" t="str"/>
      <x:c r="Q36" s="71" t="str"/>
      <x:c r="R36" s="71" t="str"/>
      <x:c r="S36" s="71" t="str"/>
      <x:c r="T36" s="71" t="str"/>
      <x:c r="U36" s="71" t="str">
        <x:v>Bonus Action to use or apply</x:v>
      </x:c>
      <x:c r="V36" s="49" t="str"/>
    </x:row>
    <x:row r="37">
      <x:c r="A37" s="48" t="str">
        <x:v>Poisons</x:v>
      </x:c>
      <x:c r="B37" s="71" t="str">
        <x:v>Poison of Dexterity Weakening</x:v>
      </x:c>
      <x:c r="C37" s="71" t="str">
        <x:v>Poison of X Weakening</x:v>
      </x:c>
      <x:c r="D37" s="71" t="str">
        <x:v>Named formula variant sets the attacked ability.</x:v>
      </x:c>
      <x:c r="E37" s="71" t="str">
        <x:v>Rare</x:v>
      </x:c>
      <x:c r="F37" s="71" t="n">
        <x:v>28</x:v>
      </x:c>
      <x:c r="G37" s="71" t="str">
        <x:v>Venom / Poison Plant</x:v>
      </x:c>
      <x:c r="H37" s="71" t="str">
        <x:v>Leaf / Vine</x:v>
      </x:c>
      <x:c r="I37" s="71" t="str">
        <x:v>Flower</x:v>
      </x:c>
      <x:c r="J37" s="71" t="str">
        <x:v>Venom / Poison Plant + Leaf / Vine + Flower</x:v>
      </x:c>
      <x:c r="K37" s="71" t="str">
        <x:v>Optional fourth slot: venom, bile, essence, or monster component that adds a rider or die step.</x:v>
      </x:c>
      <x:c r="L37" s="71" t="str">
        <x:v>Optional</x:v>
      </x:c>
      <x:c r="M37" s="71" t="str">
        <x:v>1 hour</x:v>
      </x:c>
      <x:c r="N37" s="71" t="str">
        <x:v>The target chooses Constitution or Dexterity before rolling. On a failed save, Dexterity is reduced by 1d6 temporarily.</x:v>
      </x:c>
      <x:c r="O37" s="71" t="str"/>
      <x:c r="P37" s="71" t="str"/>
      <x:c r="Q37" s="71" t="str"/>
      <x:c r="R37" s="71" t="str"/>
      <x:c r="S37" s="71" t="str"/>
      <x:c r="T37" s="71" t="str"/>
      <x:c r="U37" s="71" t="str">
        <x:v>Bonus Action to use or apply</x:v>
      </x:c>
      <x:c r="V37" s="49" t="str"/>
    </x:row>
    <x:row r="38">
      <x:c r="A38" s="48" t="str">
        <x:v>Poisons</x:v>
      </x:c>
      <x:c r="B38" s="71" t="str">
        <x:v>Poison of Intelligence Weakening</x:v>
      </x:c>
      <x:c r="C38" s="71" t="str">
        <x:v>Poison of X Weakening</x:v>
      </x:c>
      <x:c r="D38" s="71" t="str">
        <x:v>Named formula variant sets the attacked ability.</x:v>
      </x:c>
      <x:c r="E38" s="71" t="str">
        <x:v>Rare</x:v>
      </x:c>
      <x:c r="F38" s="71" t="n">
        <x:v>28</x:v>
      </x:c>
      <x:c r="G38" s="71" t="str">
        <x:v>Venom / Poison Plant</x:v>
      </x:c>
      <x:c r="H38" s="71" t="str">
        <x:v>Flower</x:v>
      </x:c>
      <x:c r="I38" s="71" t="str">
        <x:v>Mineral / Salt / Ash</x:v>
      </x:c>
      <x:c r="J38" s="71" t="str">
        <x:v>Venom / Poison Plant + Flower + Mineral / Salt / Ash</x:v>
      </x:c>
      <x:c r="K38" s="71" t="str">
        <x:v>Optional fourth slot: venom, bile, essence, or monster component that adds a rider or die step.</x:v>
      </x:c>
      <x:c r="L38" s="71" t="str">
        <x:v>Optional</x:v>
      </x:c>
      <x:c r="M38" s="71" t="str">
        <x:v>1 hour</x:v>
      </x:c>
      <x:c r="N38" s="71" t="str">
        <x:v>The target chooses Constitution or Intelligence before rolling. On a failed save, Intelligence is reduced by 1d6 temporarily.</x:v>
      </x:c>
      <x:c r="O38" s="71" t="str"/>
      <x:c r="P38" s="71" t="str"/>
      <x:c r="Q38" s="71" t="str"/>
      <x:c r="R38" s="71" t="str"/>
      <x:c r="S38" s="71" t="str"/>
      <x:c r="T38" s="71" t="str"/>
      <x:c r="U38" s="71" t="str">
        <x:v>Bonus Action to use or apply</x:v>
      </x:c>
      <x:c r="V38" s="49" t="str"/>
    </x:row>
    <x:row r="39">
      <x:c r="A39" s="48" t="str">
        <x:v>Poisons</x:v>
      </x:c>
      <x:c r="B39" s="71" t="str">
        <x:v>Poison of Strength Weakening</x:v>
      </x:c>
      <x:c r="C39" s="71" t="str">
        <x:v>Poison of X Weakening</x:v>
      </x:c>
      <x:c r="D39" s="71" t="str">
        <x:v>Named formula variant sets the attacked ability.</x:v>
      </x:c>
      <x:c r="E39" s="71" t="str">
        <x:v>Rare</x:v>
      </x:c>
      <x:c r="F39" s="71" t="n">
        <x:v>28</x:v>
      </x:c>
      <x:c r="G39" s="71" t="str">
        <x:v>Venom / Poison Plant</x:v>
      </x:c>
      <x:c r="H39" s="71" t="str">
        <x:v>Root</x:v>
      </x:c>
      <x:c r="I39" s="71" t="str">
        <x:v>Thorn / Bark / Wood</x:v>
      </x:c>
      <x:c r="J39" s="71" t="str">
        <x:v>Venom / Poison Plant + Root + Thorn / Bark / Wood</x:v>
      </x:c>
      <x:c r="K39" s="71" t="str">
        <x:v>Optional fourth slot: venom, bile, essence, or monster component that adds a rider or die step.</x:v>
      </x:c>
      <x:c r="L39" s="71" t="str">
        <x:v>Optional</x:v>
      </x:c>
      <x:c r="M39" s="71" t="str">
        <x:v>1 hour</x:v>
      </x:c>
      <x:c r="N39" s="71" t="str">
        <x:v>The target chooses Constitution or Strength before rolling. On a failed save, Strength is reduced by 1d6 temporarily.</x:v>
      </x:c>
      <x:c r="O39" s="71" t="str"/>
      <x:c r="P39" s="71" t="str"/>
      <x:c r="Q39" s="71" t="str"/>
      <x:c r="R39" s="71" t="str"/>
      <x:c r="S39" s="71" t="str"/>
      <x:c r="T39" s="71" t="str"/>
      <x:c r="U39" s="71" t="str">
        <x:v>Bonus Action to use or apply</x:v>
      </x:c>
      <x:c r="V39" s="49" t="str"/>
    </x:row>
    <x:row r="40">
      <x:c r="A40" s="48" t="str">
        <x:v>Poisons</x:v>
      </x:c>
      <x:c r="B40" s="71" t="str">
        <x:v>Poison of Wisdom Weakening</x:v>
      </x:c>
      <x:c r="C40" s="71" t="str">
        <x:v>Poison of X Weakening</x:v>
      </x:c>
      <x:c r="D40" s="71" t="str">
        <x:v>Named formula variant sets the attacked ability.</x:v>
      </x:c>
      <x:c r="E40" s="71" t="str">
        <x:v>Rare</x:v>
      </x:c>
      <x:c r="F40" s="71" t="n">
        <x:v>28</x:v>
      </x:c>
      <x:c r="G40" s="71" t="str">
        <x:v>Venom / Poison Plant</x:v>
      </x:c>
      <x:c r="H40" s="71" t="str">
        <x:v>Moss / Lichen</x:v>
      </x:c>
      <x:c r="I40" s="71" t="str">
        <x:v>Flower</x:v>
      </x:c>
      <x:c r="J40" s="71" t="str">
        <x:v>Venom / Poison Plant + Moss / Lichen + Flower</x:v>
      </x:c>
      <x:c r="K40" s="71" t="str">
        <x:v>Optional fourth slot: venom, bile, essence, or monster component that adds a rider or die step.</x:v>
      </x:c>
      <x:c r="L40" s="71" t="str">
        <x:v>Optional</x:v>
      </x:c>
      <x:c r="M40" s="71" t="str">
        <x:v>1 hour</x:v>
      </x:c>
      <x:c r="N40" s="71" t="str">
        <x:v>The target chooses Constitution or Wisdom before rolling. On a failed save, Wisdom is reduced by 1d6 temporarily.</x:v>
      </x:c>
      <x:c r="O40" s="71" t="str"/>
      <x:c r="P40" s="71" t="str"/>
      <x:c r="Q40" s="71" t="str"/>
      <x:c r="R40" s="71" t="str"/>
      <x:c r="S40" s="71" t="str"/>
      <x:c r="T40" s="71" t="str"/>
      <x:c r="U40" s="71" t="str">
        <x:v>Bonus Action to use or apply</x:v>
      </x:c>
      <x:c r="V40" s="49" t="str"/>
    </x:row>
    <x:row r="41">
      <x:c r="A41" s="48" t="str">
        <x:v>Poisons</x:v>
      </x:c>
      <x:c r="B41" s="71" t="str">
        <x:v>Purple Worm Poison</x:v>
      </x:c>
      <x:c r="C41" s="71" t="str"/>
      <x:c r="D41" s="71" t="str"/>
      <x:c r="E41" s="71" t="str">
        <x:v>Very Rare</x:v>
      </x:c>
      <x:c r="F41" s="71" t="n">
        <x:v>34</x:v>
      </x:c>
      <x:c r="G41" s="71" t="str">
        <x:v>Venom / Poison Plant</x:v>
      </x:c>
      <x:c r="H41" s="71" t="str">
        <x:v>Root</x:v>
      </x:c>
      <x:c r="I41" s="71" t="str">
        <x:v>Sap / Resin</x:v>
      </x:c>
      <x:c r="J41" s="71" t="str">
        <x:v>Venom / Poison Plant + Root + Sap / Resin</x:v>
      </x:c>
      <x:c r="K41" s="71" t="str">
        <x:v>Required fourth slot: Purple Worm venom or an equivalent legendary monster toxin.</x:v>
      </x:c>
      <x:c r="L41" s="71" t="str">
        <x:v>Required</x:v>
      </x:c>
      <x:c r="M41" s="71" t="str">
        <x:v>Until delivered</x:v>
      </x:c>
      <x:c r="N41" s="71" t="str">
        <x:v>A creature exposed to the poison makes a Constitution save or takes heavy poison damage.</x:v>
      </x:c>
      <x:c r="O41" s="71" t="str"/>
      <x:c r="P41" s="71" t="str"/>
      <x:c r="Q41" s="71" t="str"/>
      <x:c r="R41" s="71" t="str"/>
      <x:c r="S41" s="71" t="str"/>
      <x:c r="T41" s="71" t="str"/>
      <x:c r="U41" s="71" t="str">
        <x:v>Bonus Action to use or apply</x:v>
      </x:c>
      <x:c r="V41" s="49" t="str"/>
    </x:row>
    <x:row r="42">
      <x:c r="A42" s="48" t="str">
        <x:v>Poisons</x:v>
      </x:c>
      <x:c r="B42" s="71" t="str">
        <x:v>Siren's Whisper Poison</x:v>
      </x:c>
      <x:c r="C42" s="71" t="str"/>
      <x:c r="D42" s="71" t="str"/>
      <x:c r="E42" s="71" t="str">
        <x:v>Rare</x:v>
      </x:c>
      <x:c r="F42" s="71" t="n">
        <x:v>28</x:v>
      </x:c>
      <x:c r="G42" s="71" t="str">
        <x:v>Venom / Poison Plant</x:v>
      </x:c>
      <x:c r="H42" s="71" t="str">
        <x:v>Flower</x:v>
      </x:c>
      <x:c r="I42" s="71" t="str">
        <x:v>Sap / Resin</x:v>
      </x:c>
      <x:c r="J42" s="71" t="str">
        <x:v>Venom / Poison Plant + Flower + Sap / Resin</x:v>
      </x:c>
      <x:c r="K42" s="71" t="str">
        <x:v>Required fourth slot: Siren Gland Extract, fey essence, or another charm-bearing component.</x:v>
      </x:c>
      <x:c r="L42" s="71" t="str">
        <x:v>Required</x:v>
      </x:c>
      <x:c r="M42" s="71" t="str">
        <x:v>1 minute</x:v>
      </x:c>
      <x:c r="N42" s="71" t="str">
        <x:v>The target makes a Wisdom saving throw. On a failure, it is Charmed for 1 minute. The effect ends early if the target is harmed by the charmer or the charmer's allies.</x:v>
      </x:c>
      <x:c r="O42" s="71" t="str">
        <x:v>Charmed</x:v>
      </x:c>
      <x:c r="P42" s="71" t="str"/>
      <x:c r="Q42" s="71" t="str"/>
      <x:c r="R42" s="71" t="str">
        <x:v>Wisdom</x:v>
      </x:c>
      <x:c r="S42" s="71" t="str">
        <x:v>1 minute</x:v>
      </x:c>
      <x:c r="T42" s="71" t="str">
        <x:v>Ends when harmed</x:v>
      </x:c>
      <x:c r="U42" s="71" t="str">
        <x:v>Bonus Action to use or apply</x:v>
      </x:c>
      <x:c r="V42" s="49" t="str">
        <x:v>Save DC bonuses strengthen the poison.</x:v>
      </x:c>
    </x:row>
    <x:row r="43">
      <x:c r="A43" s="48" t="str">
        <x:v>Poisons</x:v>
      </x:c>
      <x:c r="B43" s="71" t="str">
        <x:v>Stoneblood Toxin</x:v>
      </x:c>
      <x:c r="C43" s="71" t="str"/>
      <x:c r="D43" s="71" t="str"/>
      <x:c r="E43" s="71" t="str">
        <x:v>Very Rare</x:v>
      </x:c>
      <x:c r="F43" s="71" t="n">
        <x:v>34</x:v>
      </x:c>
      <x:c r="G43" s="71" t="str">
        <x:v>Venom / Poison Plant</x:v>
      </x:c>
      <x:c r="H43" s="71" t="str">
        <x:v>Mineral / Salt / Ash</x:v>
      </x:c>
      <x:c r="I43" s="71" t="str">
        <x:v>Root</x:v>
      </x:c>
      <x:c r="J43" s="71" t="str">
        <x:v>Venom / Poison Plant + Mineral / Salt / Ash + Root</x:v>
      </x:c>
      <x:c r="K43" s="71" t="str">
        <x:v>Required fourth slot: Basilisk Bile, Medusa-derived essence, or another petrifying component.</x:v>
      </x:c>
      <x:c r="L43" s="71" t="str">
        <x:v>Required</x:v>
      </x:c>
      <x:c r="M43" s="71" t="str">
        <x:v>1 minute</x:v>
      </x:c>
      <x:c r="N43" s="71" t="str">
        <x:v>The target makes a Constitution saving throw. On a failure, it is Petrified for 1 minute and repeats the save at the end of each turn.</x:v>
      </x:c>
      <x:c r="O43" s="71" t="str">
        <x:v>Petrified</x:v>
      </x:c>
      <x:c r="P43" s="71" t="str"/>
      <x:c r="Q43" s="71" t="str"/>
      <x:c r="R43" s="71" t="str">
        <x:v>Constitution</x:v>
      </x:c>
      <x:c r="S43" s="71" t="str">
        <x:v>1 minute</x:v>
      </x:c>
      <x:c r="T43" s="71" t="str">
        <x:v>End of each turn</x:v>
      </x:c>
      <x:c r="U43" s="71" t="str">
        <x:v>Bonus Action to use or apply</x:v>
      </x:c>
      <x:c r="V43" s="49" t="str">
        <x:v>A deliberately high-tier condition poison.</x:v>
      </x:c>
    </x:row>
    <x:row r="44">
      <x:c r="A44" s="48" t="str">
        <x:v>Bombs</x:v>
      </x:c>
      <x:c r="B44" s="71" t="str">
        <x:v>Arcshock Bomb</x:v>
      </x:c>
      <x:c r="C44" s="71" t="str"/>
      <x:c r="D44" s="71" t="str"/>
      <x:c r="E44" s="71" t="str">
        <x:v>Very Rare</x:v>
      </x:c>
      <x:c r="F44" s="71" t="n">
        <x:v>34</x:v>
      </x:c>
      <x:c r="G44" s="71" t="str">
        <x:v>Mineral / Salt / Ash</x:v>
      </x:c>
      <x:c r="H44" s="71" t="str">
        <x:v>Sap / Resin</x:v>
      </x:c>
      <x:c r="I44" s="71" t="str">
        <x:v>Leaf / Vine</x:v>
      </x:c>
      <x:c r="J44" s="71" t="str">
        <x:v>Mineral / Salt / Ash + Sap / Resin + Leaf / Vine</x:v>
      </x:c>
      <x:c r="K44" s="71" t="str">
        <x:v>Required fourth slot: Shock Eel Cerebrum, Storm Essence, or another electrical nerve-agent component.</x:v>
      </x:c>
      <x:c r="L44" s="71" t="str">
        <x:v>Required</x:v>
      </x:c>
      <x:c r="M44" s="71" t="str">
        <x:v>Until the end of the target's next turn</x:v>
      </x:c>
      <x:c r="N44" s="71" t="str">
        <x:v>Creatures in the blast make a Constitution saving throw. On a failure, a creature is Stunned until the end of its next turn.</x:v>
      </x:c>
      <x:c r="O44" s="71" t="str">
        <x:v>Stunned</x:v>
      </x:c>
      <x:c r="P44" s="71" t="str"/>
      <x:c r="Q44" s="71" t="str"/>
      <x:c r="R44" s="71" t="str">
        <x:v>Constitution</x:v>
      </x:c>
      <x:c r="S44" s="71" t="str">
        <x:v>Until the end of the target's next turn</x:v>
      </x:c>
      <x:c r="T44" s="71" t="str"/>
      <x:c r="U44" s="71" t="str">
        <x:v>Bonus Action to use or apply</x:v>
      </x:c>
      <x:c r="V44" s="49" t="str">
        <x:v>The fourth-slot component directs the electrical rider.</x:v>
      </x:c>
    </x:row>
    <x:row r="45">
      <x:c r="A45" s="48" t="str">
        <x:v>Bombs</x:v>
      </x:c>
      <x:c r="B45" s="71" t="str">
        <x:v>Binding Resin Bomb</x:v>
      </x:c>
      <x:c r="C45" s="71" t="str"/>
      <x:c r="D45" s="71" t="str"/>
      <x:c r="E45" s="71" t="str">
        <x:v>Rare</x:v>
      </x:c>
      <x:c r="F45" s="71" t="n">
        <x:v>28</x:v>
      </x:c>
      <x:c r="G45" s="71" t="str">
        <x:v>Sap / Resin</x:v>
      </x:c>
      <x:c r="H45" s="71" t="str">
        <x:v>Leaf / Vine</x:v>
      </x:c>
      <x:c r="I45" s="71" t="str">
        <x:v>Thorn / Bark / Wood</x:v>
      </x:c>
      <x:c r="J45" s="71" t="str">
        <x:v>Sap / Resin + Leaf / Vine + Thorn / Bark / Wood</x:v>
      </x:c>
      <x:c r="K45" s="71" t="str">
        <x:v>Required fourth slot: Ettercap Resin Gland or another binding monster component.</x:v>
      </x:c>
      <x:c r="L45" s="71" t="str">
        <x:v>Required</x:v>
      </x:c>
      <x:c r="M45" s="71" t="str">
        <x:v>1 minute</x:v>
      </x:c>
      <x:c r="N45" s="71" t="str">
        <x:v>A creature struck by the resin makes a Dexterity saving throw. On a failure, it is Restrained for 1 minute. It can use an action to repeat the save or escape by DM ruling.</x:v>
      </x:c>
      <x:c r="O45" s="71" t="str">
        <x:v>Restrained</x:v>
      </x:c>
      <x:c r="P45" s="71" t="str"/>
      <x:c r="Q45" s="71" t="str"/>
      <x:c r="R45" s="71" t="str">
        <x:v>Dexterity</x:v>
      </x:c>
      <x:c r="S45" s="71" t="str">
        <x:v>1 minute</x:v>
      </x:c>
      <x:c r="T45" s="71" t="str">
        <x:v>Action to escape</x:v>
      </x:c>
      <x:c r="U45" s="71" t="str">
        <x:v>Bonus Action to use or apply</x:v>
      </x:c>
      <x:c r="V45" s="49" t="str">
        <x:v>Duration bonuses extend the binding.</x:v>
      </x:c>
    </x:row>
    <x:row r="46">
      <x:c r="A46" s="48" t="str">
        <x:v>Bombs</x:v>
      </x:c>
      <x:c r="B46" s="71" t="str">
        <x:v>Blinding Dust Bomb</x:v>
      </x:c>
      <x:c r="C46" s="71" t="str"/>
      <x:c r="D46" s="71" t="str"/>
      <x:c r="E46" s="71" t="str">
        <x:v>Uncommon</x:v>
      </x:c>
      <x:c r="F46" s="71" t="n">
        <x:v>22</x:v>
      </x:c>
      <x:c r="G46" s="71" t="str">
        <x:v>Mineral / Salt / Ash</x:v>
      </x:c>
      <x:c r="H46" s="71" t="str">
        <x:v>Flower</x:v>
      </x:c>
      <x:c r="I46" s="71" t="str">
        <x:v>Venom / Poison Plant</x:v>
      </x:c>
      <x:c r="J46" s="71" t="str">
        <x:v>Mineral / Salt / Ash + Flower + Venom / Poison Plant</x:v>
      </x:c>
      <x:c r="K46" s="71" t="str">
        <x:v>Optional fourth slot: Eyeless Moth Dust or another vision-disrupting component.</x:v>
      </x:c>
      <x:c r="L46" s="71" t="str">
        <x:v>Optional</x:v>
      </x:c>
      <x:c r="M46" s="71" t="str">
        <x:v>1 minute</x:v>
      </x:c>
      <x:c r="N46" s="71" t="str">
        <x:v>Creatures in the cloud make a Constitution saving throw. On a failure, a creature is Blinded for 1 minute and repeats the save at the end of each turn.</x:v>
      </x:c>
      <x:c r="O46" s="71" t="str">
        <x:v>Blinded</x:v>
      </x:c>
      <x:c r="P46" s="71" t="str"/>
      <x:c r="Q46" s="71" t="str"/>
      <x:c r="R46" s="71" t="str">
        <x:v>Constitution</x:v>
      </x:c>
      <x:c r="S46" s="71" t="str">
        <x:v>1 minute</x:v>
      </x:c>
      <x:c r="T46" s="71" t="str">
        <x:v>End of each turn</x:v>
      </x:c>
      <x:c r="U46" s="71" t="str">
        <x:v>Bonus Action to use or apply</x:v>
      </x:c>
      <x:c r="V46" s="49" t="str">
        <x:v>Area / Range bonuses enlarge the cloud.</x:v>
      </x:c>
    </x:row>
    <x:row r="47">
      <x:c r="A47" s="48" t="str">
        <x:v>Bombs</x:v>
      </x:c>
      <x:c r="B47" s="71" t="str">
        <x:v>Noxious Spore Bomb</x:v>
      </x:c>
      <x:c r="C47" s="71" t="str"/>
      <x:c r="D47" s="71" t="str"/>
      <x:c r="E47" s="71" t="str">
        <x:v>Uncommon</x:v>
      </x:c>
      <x:c r="F47" s="71" t="n">
        <x:v>22</x:v>
      </x:c>
      <x:c r="G47" s="71" t="str">
        <x:v>Mushroom</x:v>
      </x:c>
      <x:c r="H47" s="71" t="str">
        <x:v>Venom / Poison Plant</x:v>
      </x:c>
      <x:c r="I47" s="71" t="str">
        <x:v>Sap / Resin</x:v>
      </x:c>
      <x:c r="J47" s="71" t="str">
        <x:v>Mushroom + Venom / Poison Plant + Sap / Resin</x:v>
      </x:c>
      <x:c r="K47" s="71" t="str">
        <x:v>Optional fourth slot: Carrion Spore Sac or another toxic spore component.</x:v>
      </x:c>
      <x:c r="L47" s="71" t="str">
        <x:v>Optional</x:v>
      </x:c>
      <x:c r="M47" s="71" t="str">
        <x:v>1 minute</x:v>
      </x:c>
      <x:c r="N47" s="71" t="str">
        <x:v>Creatures in the cloud make a Constitution saving throw. On a failure, a creature is Poisoned for 1 minute and repeats the save at the end of each turn.</x:v>
      </x:c>
      <x:c r="O47" s="71" t="str">
        <x:v>Poisoned</x:v>
      </x:c>
      <x:c r="P47" s="71" t="str"/>
      <x:c r="Q47" s="71" t="str"/>
      <x:c r="R47" s="71" t="str">
        <x:v>Constitution</x:v>
      </x:c>
      <x:c r="S47" s="71" t="str">
        <x:v>1 minute</x:v>
      </x:c>
      <x:c r="T47" s="71" t="str">
        <x:v>End of each turn</x:v>
      </x:c>
      <x:c r="U47" s="71" t="str">
        <x:v>Bonus Action to use or apply</x:v>
      </x:c>
      <x:c r="V47" s="49" t="str">
        <x:v>Area / Range bonuses enlarge the cloud.</x:v>
      </x:c>
    </x:row>
    <x:row r="48">
      <x:c r="A48" s="48" t="str">
        <x:v>Bombs</x:v>
      </x:c>
      <x:c r="B48" s="71" t="str">
        <x:v>Terror Spore Bomb</x:v>
      </x:c>
      <x:c r="C48" s="71" t="str"/>
      <x:c r="D48" s="71" t="str"/>
      <x:c r="E48" s="71" t="str">
        <x:v>Rare</x:v>
      </x:c>
      <x:c r="F48" s="71" t="n">
        <x:v>28</x:v>
      </x:c>
      <x:c r="G48" s="71" t="str">
        <x:v>Mushroom</x:v>
      </x:c>
      <x:c r="H48" s="71" t="str">
        <x:v>Flower</x:v>
      </x:c>
      <x:c r="I48" s="71" t="str">
        <x:v>Moss / Lichen</x:v>
      </x:c>
      <x:c r="J48" s="71" t="str">
        <x:v>Mushroom + Flower + Moss / Lichen</x:v>
      </x:c>
      <x:c r="K48" s="71" t="str">
        <x:v>Required fourth slot: Dreadcap Spore Cluster, fear essence, or another terror-bearing component.</x:v>
      </x:c>
      <x:c r="L48" s="71" t="str">
        <x:v>Required</x:v>
      </x:c>
      <x:c r="M48" s="71" t="str">
        <x:v>1 minute</x:v>
      </x:c>
      <x:c r="N48" s="71" t="str">
        <x:v>Creatures in the cloud make a Wisdom saving throw. On a failure, a creature is Frightened for 1 minute and repeats the save at the end of each turn.</x:v>
      </x:c>
      <x:c r="O48" s="71" t="str">
        <x:v>Frightened</x:v>
      </x:c>
      <x:c r="P48" s="71" t="str"/>
      <x:c r="Q48" s="71" t="str"/>
      <x:c r="R48" s="71" t="str">
        <x:v>Wisdom</x:v>
      </x:c>
      <x:c r="S48" s="71" t="str">
        <x:v>1 minute</x:v>
      </x:c>
      <x:c r="T48" s="71" t="str">
        <x:v>End of each turn</x:v>
      </x:c>
      <x:c r="U48" s="71" t="str">
        <x:v>Bonus Action to use or apply</x:v>
      </x:c>
      <x:c r="V48" s="49" t="str">
        <x:v>Area / Range bonuses enlarge the cloud.</x:v>
      </x:c>
    </x:row>
    <x:row r="49">
      <x:c r="A49" s="48" t="str">
        <x:v>Elixirs</x:v>
      </x:c>
      <x:c r="B49" s="71" t="str">
        <x:v>Elixir of Charisma</x:v>
      </x:c>
      <x:c r="C49" s="71" t="str">
        <x:v>Elixir of X Ability</x:v>
      </x:c>
      <x:c r="D49" s="71" t="str">
        <x:v>Named formula variant sets the ability.</x:v>
      </x:c>
      <x:c r="E49" s="71" t="str">
        <x:v>Uncommon</x:v>
      </x:c>
      <x:c r="F49" s="71" t="n">
        <x:v>22</x:v>
      </x:c>
      <x:c r="G49" s="71" t="str">
        <x:v>Flower</x:v>
      </x:c>
      <x:c r="H49" s="71" t="str">
        <x:v>Sap / Resin</x:v>
      </x:c>
      <x:c r="I49" s="71" t="str">
        <x:v>Mineral / Salt / Ash</x:v>
      </x:c>
      <x:c r="J49" s="71" t="str">
        <x:v>Flower + Sap / Resin + Mineral / Salt / Ash</x:v>
      </x:c>
      <x:c r="K49" s="71" t="str">
        <x:v>Optional fourth slot: enhancer, holy/vital component, essence, or monster-derived ability twist.</x:v>
      </x:c>
      <x:c r="L49" s="71" t="str">
        <x:v>Optional</x:v>
      </x:c>
      <x:c r="M49" s="71" t="str">
        <x:v>1 hour</x:v>
      </x:c>
      <x:c r="N49" s="71" t="str">
        <x:v>Charisma increases by 1d4 for the duration.</x:v>
      </x:c>
      <x:c r="O49" s="71" t="str"/>
      <x:c r="P49" s="71" t="str"/>
      <x:c r="Q49" s="71" t="str"/>
      <x:c r="R49" s="71" t="str"/>
      <x:c r="S49" s="71" t="str"/>
      <x:c r="T49" s="71" t="str"/>
      <x:c r="U49" s="71" t="str">
        <x:v>Bonus Action to use or apply</x:v>
      </x:c>
      <x:c r="V49" s="49" t="str"/>
    </x:row>
    <x:row r="50">
      <x:c r="A50" s="48" t="str">
        <x:v>Elixirs</x:v>
      </x:c>
      <x:c r="B50" s="71" t="str">
        <x:v>Elixir of Constitution</x:v>
      </x:c>
      <x:c r="C50" s="71" t="str">
        <x:v>Elixir of X Ability</x:v>
      </x:c>
      <x:c r="D50" s="71" t="str">
        <x:v>Named formula variant sets the ability.</x:v>
      </x:c>
      <x:c r="E50" s="71" t="str">
        <x:v>Uncommon</x:v>
      </x:c>
      <x:c r="F50" s="71" t="n">
        <x:v>22</x:v>
      </x:c>
      <x:c r="G50" s="71" t="str">
        <x:v>Root</x:v>
      </x:c>
      <x:c r="H50" s="71" t="str">
        <x:v>Mushroom</x:v>
      </x:c>
      <x:c r="I50" s="71" t="str">
        <x:v>Moss / Lichen</x:v>
      </x:c>
      <x:c r="J50" s="71" t="str">
        <x:v>Root + Mushroom + Moss / Lichen</x:v>
      </x:c>
      <x:c r="K50" s="71" t="str">
        <x:v>Optional fourth slot: enhancer, holy/vital component, essence, or monster-derived ability twist.</x:v>
      </x:c>
      <x:c r="L50" s="71" t="str">
        <x:v>Optional</x:v>
      </x:c>
      <x:c r="M50" s="71" t="str">
        <x:v>1 hour</x:v>
      </x:c>
      <x:c r="N50" s="71" t="str">
        <x:v>Constitution increases by 1d4 for the duration.</x:v>
      </x:c>
      <x:c r="O50" s="71" t="str"/>
      <x:c r="P50" s="71" t="str"/>
      <x:c r="Q50" s="71" t="str"/>
      <x:c r="R50" s="71" t="str"/>
      <x:c r="S50" s="71" t="str"/>
      <x:c r="T50" s="71" t="str"/>
      <x:c r="U50" s="71" t="str">
        <x:v>Bonus Action to use or apply</x:v>
      </x:c>
      <x:c r="V50" s="49" t="str"/>
    </x:row>
    <x:row r="51">
      <x:c r="A51" s="48" t="str">
        <x:v>Elixirs</x:v>
      </x:c>
      <x:c r="B51" s="71" t="str">
        <x:v>Elixir of Dexterity</x:v>
      </x:c>
      <x:c r="C51" s="71" t="str">
        <x:v>Elixir of X Ability</x:v>
      </x:c>
      <x:c r="D51" s="71" t="str">
        <x:v>Named formula variant sets the ability.</x:v>
      </x:c>
      <x:c r="E51" s="71" t="str">
        <x:v>Uncommon</x:v>
      </x:c>
      <x:c r="F51" s="71" t="n">
        <x:v>22</x:v>
      </x:c>
      <x:c r="G51" s="71" t="str">
        <x:v>Leaf / Vine</x:v>
      </x:c>
      <x:c r="H51" s="71" t="str">
        <x:v>Flower</x:v>
      </x:c>
      <x:c r="I51" s="71" t="str">
        <x:v>Sap / Resin</x:v>
      </x:c>
      <x:c r="J51" s="71" t="str">
        <x:v>Leaf / Vine + Flower + Sap / Resin</x:v>
      </x:c>
      <x:c r="K51" s="71" t="str">
        <x:v>Optional fourth slot: enhancer, holy/vital component, essence, or monster-derived ability twist.</x:v>
      </x:c>
      <x:c r="L51" s="71" t="str">
        <x:v>Optional</x:v>
      </x:c>
      <x:c r="M51" s="71" t="str">
        <x:v>1 hour</x:v>
      </x:c>
      <x:c r="N51" s="71" t="str">
        <x:v>Dexterity increases by 1d4 for the duration.</x:v>
      </x:c>
      <x:c r="O51" s="71" t="str"/>
      <x:c r="P51" s="71" t="str"/>
      <x:c r="Q51" s="71" t="str"/>
      <x:c r="R51" s="71" t="str"/>
      <x:c r="S51" s="71" t="str"/>
      <x:c r="T51" s="71" t="str"/>
      <x:c r="U51" s="71" t="str">
        <x:v>Bonus Action to use or apply</x:v>
      </x:c>
      <x:c r="V51" s="49" t="str"/>
    </x:row>
    <x:row r="52">
      <x:c r="A52" s="48" t="str">
        <x:v>Elixirs</x:v>
      </x:c>
      <x:c r="B52" s="71" t="str">
        <x:v>Elixir of Intelligence</x:v>
      </x:c>
      <x:c r="C52" s="71" t="str">
        <x:v>Elixir of X Ability</x:v>
      </x:c>
      <x:c r="D52" s="71" t="str">
        <x:v>Named formula variant sets the ability.</x:v>
      </x:c>
      <x:c r="E52" s="71" t="str">
        <x:v>Uncommon</x:v>
      </x:c>
      <x:c r="F52" s="71" t="n">
        <x:v>22</x:v>
      </x:c>
      <x:c r="G52" s="71" t="str">
        <x:v>Flower</x:v>
      </x:c>
      <x:c r="H52" s="71" t="str">
        <x:v>Mineral / Salt / Ash</x:v>
      </x:c>
      <x:c r="I52" s="71" t="str">
        <x:v>Root</x:v>
      </x:c>
      <x:c r="J52" s="71" t="str">
        <x:v>Flower + Mineral / Salt / Ash + Root</x:v>
      </x:c>
      <x:c r="K52" s="71" t="str">
        <x:v>Optional fourth slot: enhancer, holy/vital component, essence, or monster-derived ability twist.</x:v>
      </x:c>
      <x:c r="L52" s="71" t="str">
        <x:v>Optional</x:v>
      </x:c>
      <x:c r="M52" s="71" t="str">
        <x:v>1 hour</x:v>
      </x:c>
      <x:c r="N52" s="71" t="str">
        <x:v>Intelligence increases by 1d4 for the duration.</x:v>
      </x:c>
      <x:c r="O52" s="71" t="str"/>
      <x:c r="P52" s="71" t="str"/>
      <x:c r="Q52" s="71" t="str"/>
      <x:c r="R52" s="71" t="str"/>
      <x:c r="S52" s="71" t="str"/>
      <x:c r="T52" s="71" t="str"/>
      <x:c r="U52" s="71" t="str">
        <x:v>Bonus Action to use or apply</x:v>
      </x:c>
      <x:c r="V52" s="49" t="str"/>
    </x:row>
    <x:row r="53">
      <x:c r="A53" s="48" t="str">
        <x:v>Elixirs</x:v>
      </x:c>
      <x:c r="B53" s="71" t="str">
        <x:v>Elixir of Strength</x:v>
      </x:c>
      <x:c r="C53" s="71" t="str">
        <x:v>Elixir of X Ability</x:v>
      </x:c>
      <x:c r="D53" s="71" t="str">
        <x:v>Named formula variant sets the ability.</x:v>
      </x:c>
      <x:c r="E53" s="71" t="str">
        <x:v>Uncommon</x:v>
      </x:c>
      <x:c r="F53" s="71" t="n">
        <x:v>22</x:v>
      </x:c>
      <x:c r="G53" s="71" t="str">
        <x:v>Root</x:v>
      </x:c>
      <x:c r="H53" s="71" t="str">
        <x:v>Thorn / Bark / Wood</x:v>
      </x:c>
      <x:c r="I53" s="71" t="str">
        <x:v>Mushroom</x:v>
      </x:c>
      <x:c r="J53" s="71" t="str">
        <x:v>Root + Thorn / Bark / Wood + Mushroom</x:v>
      </x:c>
      <x:c r="K53" s="71" t="str">
        <x:v>Optional fourth slot: enhancer, holy/vital component, essence, or monster-derived ability twist.</x:v>
      </x:c>
      <x:c r="L53" s="71" t="str">
        <x:v>Optional</x:v>
      </x:c>
      <x:c r="M53" s="71" t="str">
        <x:v>1 hour</x:v>
      </x:c>
      <x:c r="N53" s="71" t="str">
        <x:v>Strength increases by 1d4 for the duration.</x:v>
      </x:c>
      <x:c r="O53" s="71" t="str"/>
      <x:c r="P53" s="71" t="str"/>
      <x:c r="Q53" s="71" t="str"/>
      <x:c r="R53" s="71" t="str"/>
      <x:c r="S53" s="71" t="str"/>
      <x:c r="T53" s="71" t="str"/>
      <x:c r="U53" s="71" t="str">
        <x:v>Bonus Action to use or apply</x:v>
      </x:c>
      <x:c r="V53" s="49" t="str"/>
    </x:row>
    <x:row r="54">
      <x:c r="A54" s="48" t="str">
        <x:v>Elixirs</x:v>
      </x:c>
      <x:c r="B54" s="71" t="str">
        <x:v>Elixir of Wisdom</x:v>
      </x:c>
      <x:c r="C54" s="71" t="str">
        <x:v>Elixir of X Ability</x:v>
      </x:c>
      <x:c r="D54" s="71" t="str">
        <x:v>Named formula variant sets the ability.</x:v>
      </x:c>
      <x:c r="E54" s="71" t="str">
        <x:v>Uncommon</x:v>
      </x:c>
      <x:c r="F54" s="71" t="n">
        <x:v>22</x:v>
      </x:c>
      <x:c r="G54" s="71" t="str">
        <x:v>Moss / Lichen</x:v>
      </x:c>
      <x:c r="H54" s="71" t="str">
        <x:v>Flower</x:v>
      </x:c>
      <x:c r="I54" s="71" t="str">
        <x:v>Root</x:v>
      </x:c>
      <x:c r="J54" s="71" t="str">
        <x:v>Moss / Lichen + Flower + Root</x:v>
      </x:c>
      <x:c r="K54" s="71" t="str">
        <x:v>Optional fourth slot: enhancer, holy/vital component, essence, or monster-derived ability twist.</x:v>
      </x:c>
      <x:c r="L54" s="71" t="str">
        <x:v>Optional</x:v>
      </x:c>
      <x:c r="M54" s="71" t="str">
        <x:v>1 hour</x:v>
      </x:c>
      <x:c r="N54" s="71" t="str">
        <x:v>Wisdom increases by 1d4 for the duration.</x:v>
      </x:c>
      <x:c r="O54" s="71" t="str"/>
      <x:c r="P54" s="71" t="str"/>
      <x:c r="Q54" s="71" t="str"/>
      <x:c r="R54" s="71" t="str"/>
      <x:c r="S54" s="71" t="str"/>
      <x:c r="T54" s="71" t="str"/>
      <x:c r="U54" s="71" t="str">
        <x:v>Bonus Action to use or apply</x:v>
      </x:c>
      <x:c r="V54" s="49" t="str"/>
    </x:row>
    <x:row r="55">
      <x:c r="A55" s="50" t="str">
        <x:v>Elixirs</x:v>
      </x:c>
      <x:c r="B55" s="72" t="str">
        <x:v>Elixir of X Immunity</x:v>
      </x:c>
      <x:c r="C55" s="72" t="str">
        <x:v>Elixir of X Immunity</x:v>
      </x:c>
      <x:c r="D55" s="72" t="str">
        <x:v>Required fourth-slot counteragent sets the condition and minimum brew rarity.</x:v>
      </x:c>
      <x:c r="E55" s="72" t="str">
        <x:v>Uncommon</x:v>
      </x:c>
      <x:c r="F55" s="72" t="n">
        <x:v>22</x:v>
      </x:c>
      <x:c r="G55" s="72" t="str">
        <x:v>Root</x:v>
      </x:c>
      <x:c r="H55" s="72" t="str">
        <x:v>Flower</x:v>
      </x:c>
      <x:c r="I55" s="72" t="str">
        <x:v>Mineral / Salt / Ash</x:v>
      </x:c>
      <x:c r="J55" s="72" t="str">
        <x:v>Root + Flower + Mineral / Salt / Ash</x:v>
      </x:c>
      <x:c r="K55" s="72" t="str">
        <x:v>Required fourth slot: a condition counteragent that sets X and the minimum finished brew rarity.</x:v>
      </x:c>
      <x:c r="L55" s="72" t="str">
        <x:v>Required</x:v>
      </x:c>
      <x:c r="M55" s="72" t="str">
        <x:v>1 hour</x:v>
      </x:c>
      <x:c r="N55" s="72" t="str">
        <x:v>Immediately ends the condition set by the chosen counteragent if it is already present, then grants immunity to that condition for 1 hour.</x:v>
      </x:c>
      <x:c r="O55" s="72" t="str"/>
      <x:c r="P55" s="72" t="str">
        <x:v>X</x:v>
      </x:c>
      <x:c r="Q55" s="72" t="str">
        <x:v>X</x:v>
      </x:c>
      <x:c r="R55" s="72" t="str"/>
      <x:c r="S55" s="72" t="str"/>
      <x:c r="T55" s="72" t="str"/>
      <x:c r="U55" s="72" t="str">
        <x:v>Bonus Action to use or apply</x:v>
      </x:c>
      <x:c r="V55" s="51" t="str">
        <x:v>Shared immunity formula. The condition counteragent does not add Quality Steps; it can raise the minimum finished rarity.</x:v>
      </x:c>
    </x:row>
  </x:sheetData>
  <x:conditionalFormatting sqref="A2:A55">
    <x:cfRule type="expression" dxfId="5" priority="1">
      <x:formula>A2="Potions"</x:formula>
    </x:cfRule>
    <x:cfRule type="expression" dxfId="6" priority="2">
      <x:formula>A2="Poisons"</x:formula>
    </x:cfRule>
    <x:cfRule type="expression" dxfId="7" priority="3">
      <x:formula>A2="Bombs"</x:formula>
    </x:cfRule>
    <x:cfRule type="expression" dxfId="8" priority="4">
      <x:formula>A2="Elixirs"</x:formula>
    </x:cfRule>
  </x:conditionalFormatting>
  <x:conditionalFormatting sqref="E2:E55">
    <x:cfRule type="expression" dxfId="9" priority="5">
      <x:formula>E2="Common"</x:formula>
    </x:cfRule>
    <x:cfRule type="expression" dxfId="10" priority="6">
      <x:formula>E2="Uncommon"</x:formula>
    </x:cfRule>
    <x:cfRule type="expression" dxfId="11" priority="7">
      <x:formula>E2="Rare"</x:formula>
    </x:cfRule>
    <x:cfRule type="expression" dxfId="12" priority="8">
      <x:formula>E2="Very Rare"</x:formula>
    </x:cfRule>
    <x:cfRule type="expression" dxfId="13" priority="9">
      <x:formula>E2="Legendary"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fbf164efe245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8" hidden="0" customWidth="1"/>
    <x:col min="4" max="4" width="55" hidden="0" customWidth="1"/>
    <x:col min="5" max="5" width="14" hidden="0" customWidth="1"/>
    <x:col min="6" max="6" width="18" hidden="0" customWidth="1"/>
    <x:col min="7" max="7" width="62" hidden="0" customWidth="1"/>
    <x:col min="8" max="8" width="58" hidden="0" customWidth="1"/>
  </x:cols>
  <x:sheetData>
    <x:row r="1">
      <x:c r="A1" s="36" t="str">
        <x:v>Formula Family</x:v>
      </x:c>
      <x:c r="B1" s="65" t="str">
        <x:v>Current Variants</x:v>
      </x:c>
      <x:c r="C1" s="65" t="str">
        <x:v>Core Recipe Pattern</x:v>
      </x:c>
      <x:c r="D1" s="65" t="str">
        <x:v>What Sets X</x:v>
      </x:c>
      <x:c r="E1" s="65" t="str">
        <x:v>Section</x:v>
      </x:c>
      <x:c r="F1" s="65" t="str">
        <x:v>Base Formula Rarity</x:v>
      </x:c>
      <x:c r="G1" s="65" t="str">
        <x:v>Fourth Slot</x:v>
      </x:c>
      <x:c r="H1" s="37" t="str">
        <x:v>Consolidation Note</x:v>
      </x:c>
    </x:row>
    <x:row r="2">
      <x:c r="A2" s="48" t="str">
        <x:v>Elixir of X Ability</x:v>
      </x:c>
      <x:c r="B2" s="71" t="str">
        <x:v>Elixir of Charisma, Elixir of Constitution, Elixir of Dexterity, Elixir of Intelligence, Elixir of Strength, Elixir of Wisdom</x:v>
      </x:c>
      <x:c r="C2" s="71" t="str">
        <x:v>Current variants use ability-specific core-family patterns</x:v>
      </x:c>
      <x:c r="D2" s="71" t="str">
        <x:v>Named formula variant sets the ability.</x:v>
      </x:c>
      <x:c r="E2" s="71" t="str">
        <x:v>Elixirs</x:v>
      </x:c>
      <x:c r="F2" s="71" t="str">
        <x:v>Uncommon</x:v>
      </x:c>
      <x:c r="G2" s="71" t="str">
        <x:v>Optional fourth slot: enhancer, holy/vital component, essence, or monster-derived ability twist.</x:v>
      </x:c>
      <x:c r="H2" s="49" t="str">
        <x:v>Use one shared formula in the UI/database when practical; retain specific finished-item cards for merchants and loot.</x:v>
      </x:c>
    </x:row>
    <x:row r="3">
      <x:c r="A3" s="48" t="str">
        <x:v>Elixir of X Immunity</x:v>
      </x:c>
      <x:c r="B3" s="71" t="str">
        <x:v>Elixir of X Immunity</x:v>
      </x:c>
      <x:c r="C3" s="71" t="str">
        <x:v>Root + Flower + Mineral / Salt / Ash</x:v>
      </x:c>
      <x:c r="D3" s="71" t="str">
        <x:v>Required fourth-slot counteragent sets the condition and minimum brew rarity.</x:v>
      </x:c>
      <x:c r="E3" s="71" t="str">
        <x:v>Elixirs</x:v>
      </x:c>
      <x:c r="F3" s="71" t="str">
        <x:v>Uncommon</x:v>
      </x:c>
      <x:c r="G3" s="71" t="str">
        <x:v>Required fourth slot: a condition counteragent that sets X and the minimum finished brew rarity.</x:v>
      </x:c>
      <x:c r="H3" s="49" t="str">
        <x:v>Use one shared formula in the UI/database when practical; retain specific finished-item cards for merchants and loot.</x:v>
      </x:c>
    </x:row>
    <x:row r="4">
      <x:c r="A4" s="48" t="str">
        <x:v>Poison of X Weakening</x:v>
      </x:c>
      <x:c r="B4" s="71" t="str">
        <x:v>Poison of Charisma Weakening, Poison of Constitution Weakening, Poison of Dexterity Weakening, Poison of Intelligence Weakening, Poison of Strength Weakening, Poison of Wisdom Weakening</x:v>
      </x:c>
      <x:c r="C4" s="71" t="str">
        <x:v>Current variants use ability-specific core-family patterns</x:v>
      </x:c>
      <x:c r="D4" s="71" t="str">
        <x:v>Named formula variant sets the attacked ability.</x:v>
      </x:c>
      <x:c r="E4" s="71" t="str">
        <x:v>Poisons</x:v>
      </x:c>
      <x:c r="F4" s="71" t="str">
        <x:v>Rare</x:v>
      </x:c>
      <x:c r="G4" s="71" t="str">
        <x:v>Optional fourth slot: venom, bile, essence, or monster component that adds a rider or die step.</x:v>
      </x:c>
      <x:c r="H4" s="49" t="str">
        <x:v>Use one shared formula in the UI/database when practical; retain specific finished-item cards for merchants and loot.</x:v>
      </x:c>
    </x:row>
    <x:row r="5">
      <x:c r="A5" s="50" t="str">
        <x:v>Potion of X Resistance</x:v>
      </x:c>
      <x:c r="B5" s="72" t="str">
        <x:v>Potion of Resistance, Potion of X Resistance</x:v>
      </x:c>
      <x:c r="C5" s="72" t="str">
        <x:v>Moss / Lichen + Root + Mineral / Salt / Ash</x:v>
      </x:c>
      <x:c r="D5" s="72" t="str">
        <x:v>Fourth slot sets damage type.</x:v>
      </x:c>
      <x:c r="E5" s="72" t="str">
        <x:v>Potions</x:v>
      </x:c>
      <x:c r="F5" s="72" t="str">
        <x:v>Uncommon</x:v>
      </x:c>
      <x:c r="G5" s="72" t="str">
        <x:v>Required fourth slot: essence or monster component that determines the damage type.</x:v>
      </x:c>
      <x:c r="H5" s="51" t="str">
        <x:v>Use one shared formula in the UI/database when practical; retain specific finished-item cards for merchants and loot.</x:v>
      </x:c>
    </x:row>
  </x:sheetData>
  <x:pageMargins left="0.7" right="0.7" top="0.75" bottom="0.75" header="0.3" footer="0.3"/>
  <x:tableParts count="1">
    <x:tablePart xmlns:r="http://schemas.openxmlformats.org/officeDocument/2006/relationships" r:id="Ra1057ed3dc6547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5" hidden="0" customWidth="1"/>
    <x:col min="3" max="3" width="40" hidden="0" customWidth="1"/>
    <x:col min="4" max="4" width="48" hidden="0" customWidth="1"/>
    <x:col min="5" max="5" width="30" hidden="0" customWidth="1"/>
    <x:col min="6" max="6" width="17" hidden="0" customWidth="1"/>
    <x:col min="7" max="7" width="21" hidden="0" customWidth="1"/>
    <x:col min="8" max="8" width="35" hidden="0" customWidth="1"/>
    <x:col min="9" max="9" width="28" hidden="0" customWidth="1"/>
    <x:col min="10" max="10" width="68" hidden="0" customWidth="1"/>
  </x:cols>
  <x:sheetData>
    <x:row r="1">
      <x:c r="A1" s="36" t="str">
        <x:v>Condition</x:v>
      </x:c>
      <x:c r="B1" s="65" t="str">
        <x:v>Core Family Rider Source</x:v>
      </x:c>
      <x:c r="C1" s="65" t="str">
        <x:v>Fourth-Slot Rider Sources</x:v>
      </x:c>
      <x:c r="D1" s="65" t="str">
        <x:v>Poison / Bomb Formulas</x:v>
      </x:c>
      <x:c r="E1" s="65" t="str">
        <x:v>Immunity Counteragent</x:v>
      </x:c>
      <x:c r="F1" s="65" t="str">
        <x:v>Counteragent Rarity</x:v>
      </x:c>
      <x:c r="G1" s="65" t="str">
        <x:v>Minimum Finished Rarity</x:v>
      </x:c>
      <x:c r="H1" s="65" t="str">
        <x:v>Finished Immunity Item</x:v>
      </x:c>
      <x:c r="I1" s="65" t="str">
        <x:v>Shared Formula</x:v>
      </x:c>
      <x:c r="J1" s="37" t="str">
        <x:v>Immunity Effect</x:v>
      </x:c>
    </x:row>
    <x:row r="2">
      <x:c r="A2" s="48" t="str">
        <x:v>Blinded</x:v>
      </x:c>
      <x:c r="B2" s="71" t="str">
        <x:v>Crownthorn Knot</x:v>
      </x:c>
      <x:c r="C2" s="71" t="str">
        <x:v>Eyeless Moth Dust</x:v>
      </x:c>
      <x:c r="D2" s="71" t="str">
        <x:v>Blinding Dust Bomb</x:v>
      </x:c>
      <x:c r="E2" s="71" t="str">
        <x:v>Clear-Eye Distillate</x:v>
      </x:c>
      <x:c r="F2" s="71" t="str">
        <x:v>Uncommon</x:v>
      </x:c>
      <x:c r="G2" s="71" t="str">
        <x:v>Uncommon</x:v>
      </x:c>
      <x:c r="H2" s="71" t="str">
        <x:v>Elixir of Blindness Immunity</x:v>
      </x:c>
      <x:c r="I2" s="71" t="str">
        <x:v>Elixir of X Immunity</x:v>
      </x:c>
      <x:c r="J2" s="49" t="str">
        <x:v>Immediately ends Blinded if present and grants immunity to Blinded for 1 hour.</x:v>
      </x:c>
    </x:row>
    <x:row r="3">
      <x:c r="A3" s="48" t="str">
        <x:v>Charmed</x:v>
      </x:c>
      <x:c r="B3" s="71" t="str">
        <x:v>Fey Orchid</x:v>
      </x:c>
      <x:c r="C3" s="71" t="str">
        <x:v>Siren Gland Extract</x:v>
      </x:c>
      <x:c r="D3" s="71" t="str">
        <x:v>Siren's Whisper Poison</x:v>
      </x:c>
      <x:c r="E3" s="71" t="str">
        <x:v>Heartward Counteragent</x:v>
      </x:c>
      <x:c r="F3" s="71" t="str">
        <x:v>Uncommon</x:v>
      </x:c>
      <x:c r="G3" s="71" t="str">
        <x:v>Uncommon</x:v>
      </x:c>
      <x:c r="H3" s="71" t="str">
        <x:v>Elixir of Charm Immunity</x:v>
      </x:c>
      <x:c r="I3" s="71" t="str">
        <x:v>Elixir of X Immunity</x:v>
      </x:c>
      <x:c r="J3" s="49" t="str">
        <x:v>Immediately ends Charmed if present and grants immunity to Charmed for 1 hour.</x:v>
      </x:c>
    </x:row>
    <x:row r="4">
      <x:c r="A4" s="48" t="str">
        <x:v>Confused</x:v>
      </x:c>
      <x:c r="B4" s="71" t="str">
        <x:v>Dreamspore Morel</x:v>
      </x:c>
      <x:c r="C4" s="71" t="str">
        <x:v>Aboleth Mucus, Kaorti Ichor, Mindshard Distillate</x:v>
      </x:c>
      <x:c r="D4" s="71" t="str">
        <x:v>Mindfog Poison</x:v>
      </x:c>
      <x:c r="E4" s="71" t="str">
        <x:v>Mindanchor Tincture</x:v>
      </x:c>
      <x:c r="F4" s="71" t="str">
        <x:v>Uncommon</x:v>
      </x:c>
      <x:c r="G4" s="71" t="str">
        <x:v>Uncommon</x:v>
      </x:c>
      <x:c r="H4" s="71" t="str">
        <x:v>Elixir of Confusion Immunity</x:v>
      </x:c>
      <x:c r="I4" s="71" t="str">
        <x:v>Elixir of X Immunity</x:v>
      </x:c>
      <x:c r="J4" s="49" t="str">
        <x:v>Immediately ends Confused if present and grants immunity to Confused for 1 hour.</x:v>
      </x:c>
    </x:row>
    <x:row r="5">
      <x:c r="A5" s="48" t="str">
        <x:v>Frightened</x:v>
      </x:c>
      <x:c r="B5" s="71" t="str">
        <x:v>Dreamwatch Lichen</x:v>
      </x:c>
      <x:c r="C5" s="71" t="str">
        <x:v>Dreadcap Spore Cluster</x:v>
      </x:c>
      <x:c r="D5" s="71" t="str">
        <x:v>Terror Spore Bomb</x:v>
      </x:c>
      <x:c r="E5" s="71" t="str">
        <x:v>Lionheart Catalyst</x:v>
      </x:c>
      <x:c r="F5" s="71" t="str">
        <x:v>Uncommon</x:v>
      </x:c>
      <x:c r="G5" s="71" t="str">
        <x:v>Uncommon</x:v>
      </x:c>
      <x:c r="H5" s="71" t="str">
        <x:v>Elixir of Fear Immunity</x:v>
      </x:c>
      <x:c r="I5" s="71" t="str">
        <x:v>Elixir of X Immunity</x:v>
      </x:c>
      <x:c r="J5" s="49" t="str">
        <x:v>Immediately ends Frightened if present and grants immunity to Frightened for 1 hour.</x:v>
      </x:c>
    </x:row>
    <x:row r="6">
      <x:c r="A6" s="48" t="str">
        <x:v>Paralyzed</x:v>
      </x:c>
      <x:c r="B6" s="71" t="str">
        <x:v>Oathroot</x:v>
      </x:c>
      <x:c r="C6" s="71" t="str">
        <x:v>Ghoul Ichor</x:v>
      </x:c>
      <x:c r="D6" s="71" t="str">
        <x:v>Paralytic Venom</x:v>
      </x:c>
      <x:c r="E6" s="71" t="str">
        <x:v>Nervewake Serum</x:v>
      </x:c>
      <x:c r="F6" s="71" t="str">
        <x:v>Rare</x:v>
      </x:c>
      <x:c r="G6" s="71" t="str">
        <x:v>Rare</x:v>
      </x:c>
      <x:c r="H6" s="71" t="str">
        <x:v>Elixir of Paralysis Immunity</x:v>
      </x:c>
      <x:c r="I6" s="71" t="str">
        <x:v>Elixir of X Immunity</x:v>
      </x:c>
      <x:c r="J6" s="49" t="str">
        <x:v>Immediately ends Paralyzed if present and grants immunity to Paralyzed for 1 hour.</x:v>
      </x:c>
    </x:row>
    <x:row r="7">
      <x:c r="A7" s="48" t="str">
        <x:v>Petrified</x:v>
      </x:c>
      <x:c r="B7" s="71" t="str">
        <x:v>Starfall Salt</x:v>
      </x:c>
      <x:c r="C7" s="71" t="str">
        <x:v>Basilisk Bile</x:v>
      </x:c>
      <x:c r="D7" s="71" t="str">
        <x:v>Stoneblood Toxin</x:v>
      </x:c>
      <x:c r="E7" s="71" t="str">
        <x:v>Stonebreaker Solvent</x:v>
      </x:c>
      <x:c r="F7" s="71" t="str">
        <x:v>Very Rare</x:v>
      </x:c>
      <x:c r="G7" s="71" t="str">
        <x:v>Very Rare</x:v>
      </x:c>
      <x:c r="H7" s="71" t="str">
        <x:v>Elixir of Petrification Immunity</x:v>
      </x:c>
      <x:c r="I7" s="71" t="str">
        <x:v>Elixir of X Immunity</x:v>
      </x:c>
      <x:c r="J7" s="49" t="str">
        <x:v>Immediately ends Petrified if present and grants immunity to Petrified for 1 hour.</x:v>
      </x:c>
    </x:row>
    <x:row r="8">
      <x:c r="A8" s="48" t="str">
        <x:v>Poisoned</x:v>
      </x:c>
      <x:c r="B8" s="71" t="str">
        <x:v>Nightfang Cap</x:v>
      </x:c>
      <x:c r="C8" s="71" t="str">
        <x:v>Carrion Spore Sac</x:v>
      </x:c>
      <x:c r="D8" s="71" t="str">
        <x:v>Noxious Spore Bomb</x:v>
      </x:c>
      <x:c r="E8" s="71" t="str">
        <x:v>Purity Counteragent</x:v>
      </x:c>
      <x:c r="F8" s="71" t="str">
        <x:v>Uncommon</x:v>
      </x:c>
      <x:c r="G8" s="71" t="str">
        <x:v>Uncommon</x:v>
      </x:c>
      <x:c r="H8" s="71" t="str">
        <x:v>Elixir of Poison Immunity</x:v>
      </x:c>
      <x:c r="I8" s="71" t="str">
        <x:v>Elixir of X Immunity</x:v>
      </x:c>
      <x:c r="J8" s="49" t="str">
        <x:v>Immediately ends Poisoned if present and grants immunity to Poisoned for 1 hour.</x:v>
      </x:c>
    </x:row>
    <x:row r="9">
      <x:c r="A9" s="48" t="str">
        <x:v>Restrained</x:v>
      </x:c>
      <x:c r="B9" s="71" t="str">
        <x:v>Mirrorgum</x:v>
      </x:c>
      <x:c r="C9" s="71" t="str">
        <x:v>Ettercap Resin Gland</x:v>
      </x:c>
      <x:c r="D9" s="71" t="str">
        <x:v>Binding Resin Bomb</x:v>
      </x:c>
      <x:c r="E9" s="71" t="str">
        <x:v>Freedom Resin</x:v>
      </x:c>
      <x:c r="F9" s="71" t="str">
        <x:v>Rare</x:v>
      </x:c>
      <x:c r="G9" s="71" t="str">
        <x:v>Rare</x:v>
      </x:c>
      <x:c r="H9" s="71" t="str">
        <x:v>Elixir of Restraint Immunity</x:v>
      </x:c>
      <x:c r="I9" s="71" t="str">
        <x:v>Elixir of X Immunity</x:v>
      </x:c>
      <x:c r="J9" s="49" t="str">
        <x:v>Immediately ends Restrained if present and grants immunity to Restrained for 1 hour.</x:v>
      </x:c>
    </x:row>
    <x:row r="10">
      <x:c r="A10" s="50" t="str">
        <x:v>Stunned</x:v>
      </x:c>
      <x:c r="B10" s="72" t="str">
        <x:v>Stormrunner Fern</x:v>
      </x:c>
      <x:c r="C10" s="72" t="str">
        <x:v>Shock Eel Cerebrum</x:v>
      </x:c>
      <x:c r="D10" s="72" t="str">
        <x:v>Arcshock Bomb</x:v>
      </x:c>
      <x:c r="E10" s="72" t="str">
        <x:v>Stormground Serum</x:v>
      </x:c>
      <x:c r="F10" s="72" t="str">
        <x:v>Rare</x:v>
      </x:c>
      <x:c r="G10" s="72" t="str">
        <x:v>Rare</x:v>
      </x:c>
      <x:c r="H10" s="72" t="str">
        <x:v>Elixir of Stunning Immunity</x:v>
      </x:c>
      <x:c r="I10" s="72" t="str">
        <x:v>Elixir of X Immunity</x:v>
      </x:c>
      <x:c r="J10" s="51" t="str">
        <x:v>Immediately ends Stunned if present and grants immunity to Stunned for 1 hour.</x:v>
      </x:c>
    </x:row>
  </x:sheetData>
  <x:pageMargins left="0.7" right="0.7" top="0.75" bottom="0.75" header="0.3" footer="0.3"/>
  <x:tableParts count="1">
    <x:tablePart xmlns:r="http://schemas.openxmlformats.org/officeDocument/2006/relationships" r:id="R3f07ae715ffa403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16" hidden="0" customWidth="1"/>
    <x:col min="4" max="4" width="22" hidden="0" customWidth="1"/>
    <x:col min="8" max="8" width="17" hidden="0" customWidth="1"/>
    <x:col min="9" max="9" width="17" hidden="0" customWidth="1"/>
    <x:col min="10" max="10" width="16" hidden="0" customWidth="1"/>
  </x:cols>
  <x:sheetData>
    <x:row r="1">
      <x:c r="A1" s="5" t="str">
        <x:v>Interactive Brew Quality &amp; Craft DC Calculator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36" t="str">
        <x:v>Selection</x:v>
      </x:c>
      <x:c r="B4" s="65" t="str">
        <x:v>Rarity</x:v>
      </x:c>
      <x:c r="C4" s="65" t="str">
        <x:v>Quality Steps</x:v>
      </x:c>
      <x:c r="D4" s="37" t="str">
        <x:v>Effective DC Reduction</x:v>
      </x:c>
      <x:c r="H4" s="36" t="str">
        <x:v>Rarity</x:v>
      </x:c>
      <x:c r="I4" s="65" t="str">
        <x:v>DC Reduction</x:v>
      </x:c>
      <x:c r="J4" s="37" t="str">
        <x:v>Base Craft DC</x:v>
      </x:c>
    </x:row>
    <x:row r="5">
      <x:c r="A5" s="18" t="str">
        <x:v>Formula</x:v>
      </x:c>
      <x:c r="B5" s="57" t="str">
        <x:v>Common</x:v>
      </x:c>
      <x:c r="C5" s="57" t="n">
        <x:v>0</x:v>
      </x:c>
      <x:c r="D5" s="19" t="n">
        <x:v>0</x:v>
      </x:c>
      <x:c r="H5" s="18" t="str">
        <x:v>Common</x:v>
      </x:c>
      <x:c r="I5" s="57" t="n">
        <x:v>0</x:v>
      </x:c>
      <x:c r="J5" s="19" t="n">
        <x:v>16</x:v>
      </x:c>
    </x:row>
    <x:row r="6">
      <x:c r="A6" s="18" t="str">
        <x:v>Core Ingredient 1</x:v>
      </x:c>
      <x:c r="B6" s="57" t="str">
        <x:v>Common</x:v>
      </x:c>
      <x:c r="C6" s="57" t="n">
        <x:f>MAX(0,MATCH(B6,$H$5:$H$9,0)-MATCH($B$5,$H$5:$H$9,0))</x:f>
        <x:v>0</x:v>
      </x:c>
      <x:c r="D6" s="19" t="n">
        <x:f>MIN(INDEX($I$5:$I$9,MATCH(B6,$H$5:$H$9,0)),INDEX($I$5:$I$9,MATCH($B$14,$H$5:$H$9,0)))</x:f>
        <x:v>0</x:v>
      </x:c>
      <x:c r="H6" s="18" t="str">
        <x:v>Uncommon</x:v>
      </x:c>
      <x:c r="I6" s="57" t="n">
        <x:v>2</x:v>
      </x:c>
      <x:c r="J6" s="19" t="n">
        <x:v>22</x:v>
      </x:c>
    </x:row>
    <x:row r="7">
      <x:c r="A7" s="18" t="str">
        <x:v>Core Ingredient 2</x:v>
      </x:c>
      <x:c r="B7" s="57" t="str">
        <x:v>Common</x:v>
      </x:c>
      <x:c r="C7" s="57" t="n">
        <x:f>MAX(0,MATCH(B7,$H$5:$H$9,0)-MATCH($B$5,$H$5:$H$9,0))</x:f>
        <x:v>0</x:v>
      </x:c>
      <x:c r="D7" s="19" t="n">
        <x:f>MIN(INDEX($I$5:$I$9,MATCH(B7,$H$5:$H$9,0)),INDEX($I$5:$I$9,MATCH($B$14,$H$5:$H$9,0)))</x:f>
        <x:v>0</x:v>
      </x:c>
      <x:c r="H7" s="18" t="str">
        <x:v>Rare</x:v>
      </x:c>
      <x:c r="I7" s="57" t="n">
        <x:v>4</x:v>
      </x:c>
      <x:c r="J7" s="19" t="n">
        <x:v>28</x:v>
      </x:c>
    </x:row>
    <x:row r="8">
      <x:c r="A8" s="20" t="str">
        <x:v>Core Ingredient 3</x:v>
      </x:c>
      <x:c r="B8" s="58" t="str">
        <x:v>Common</x:v>
      </x:c>
      <x:c r="C8" s="58" t="n">
        <x:f>MAX(0,MATCH(B8,$H$5:$H$9,0)-MATCH($B$5,$H$5:$H$9,0))</x:f>
        <x:v>0</x:v>
      </x:c>
      <x:c r="D8" s="21" t="n">
        <x:f>MIN(INDEX($I$5:$I$9,MATCH(B8,$H$5:$H$9,0)),INDEX($I$5:$I$9,MATCH($B$14,$H$5:$H$9,0)))</x:f>
        <x:v>0</x:v>
      </x:c>
      <x:c r="H8" s="18" t="str">
        <x:v>Very Rare</x:v>
      </x:c>
      <x:c r="I8" s="57" t="n">
        <x:v>6</x:v>
      </x:c>
      <x:c r="J8" s="19" t="n">
        <x:v>34</x:v>
      </x:c>
    </x:row>
    <x:row r="9">
      <x:c r="H9" s="20" t="str">
        <x:v>Legendary</x:v>
      </x:c>
      <x:c r="I9" s="58" t="n">
        <x:v>8</x:v>
      </x:c>
      <x:c r="J9" s="21" t="n">
        <x:v>40</x:v>
      </x:c>
    </x:row>
    <x:row r="10">
      <x:c r="A10" s="36" t="str">
        <x:v>Result</x:v>
      </x:c>
      <x:c r="B10" s="37" t="str">
        <x:v>Value</x:v>
      </x:c>
    </x:row>
    <x:row r="11">
      <x:c r="A11" s="18" t="str">
        <x:v>Total Quality Steps</x:v>
      </x:c>
      <x:c r="B11" s="19" t="n">
        <x:f>SUM(C6:C8)</x:f>
        <x:v>0</x:v>
      </x:c>
    </x:row>
    <x:row r="12">
      <x:c r="A12" s="18" t="str">
        <x:v>Quality-Raised Rarity</x:v>
      </x:c>
      <x:c r="B12" s="19" t="str">
        <x:f>INDEX($H$5:$H$9,MIN(5,MATCH(B5,$H$5:$H$9,0)+INT(B11/3)))</x:f>
        <x:v>Common</x:v>
      </x:c>
    </x:row>
    <x:row r="13">
      <x:c r="A13" s="18" t="str">
        <x:v>Fourth-Slot Minimum Rarity</x:v>
      </x:c>
      <x:c r="B13" s="19" t="str">
        <x:v>Common</x:v>
      </x:c>
    </x:row>
    <x:row r="14">
      <x:c r="A14" s="18" t="str">
        <x:v>Finished Brew Rarity</x:v>
      </x:c>
      <x:c r="B14" s="19" t="str">
        <x:f>INDEX($H$5:$H$9,MAX(MATCH(B12,$H$5:$H$9,0),MATCH(B13,$H$5:$H$9,0)))</x:f>
        <x:v>Common</x:v>
      </x:c>
    </x:row>
    <x:row r="15">
      <x:c r="A15" s="18" t="str">
        <x:v>Finished Rarity Base DC</x:v>
      </x:c>
      <x:c r="B15" s="19" t="n">
        <x:f>INDEX($J$5:$J$9,MATCH(B14,$H$5:$H$9,0))</x:f>
        <x:v>16</x:v>
      </x:c>
    </x:row>
    <x:row r="16">
      <x:c r="A16" s="18" t="str">
        <x:v>Core Ingredient Reduction</x:v>
      </x:c>
      <x:c r="B16" s="19" t="n">
        <x:f>SUM(D6:D8)</x:f>
        <x:v>0</x:v>
      </x:c>
    </x:row>
    <x:row r="17">
      <x:c r="A17" s="18" t="str">
        <x:v>Explicit Fourth-Slot DC Reduction</x:v>
      </x:c>
      <x:c r="B17" s="19" t="n">
        <x:v>0</x:v>
      </x:c>
    </x:row>
    <x:row r="18">
      <x:c r="A18" s="20" t="str">
        <x:v>Final Craft DC</x:v>
      </x:c>
      <x:c r="B18" s="21" t="n">
        <x:f>MAX(10,B15-B16-B17)</x:f>
        <x:v>16</x:v>
      </x:c>
    </x:row>
  </x:sheetData>
  <x:mergeCells>
    <x:mergeCell ref="A1:F2"/>
  </x:mergeCells>
  <x:dataValidations count="3">
    <x:dataValidation type="list" sqref="B5:B8">
      <x:formula1>"Common,Uncommon,Rare,Very Rare,Legendary"</x:formula1>
    </x:dataValidation>
    <x:dataValidation type="list" sqref="B13">
      <x:formula1>"Common,Uncommon,Rare,Very Rare,Legendary"</x:formula1>
    </x:dataValidation>
    <x:dataValidation operator="between" sqref="B17">
      <x:formula1>0</x:formula1>
      <x:formula2>20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34" hidden="0" customWidth="1"/>
    <x:col min="5" max="5" width="31" hidden="0" customWidth="1"/>
    <x:col min="6" max="6" width="38" hidden="0" customWidth="1"/>
  </x:cols>
  <x:sheetData>
    <x:row r="1">
      <x:c r="A1" s="36" t="str">
        <x:v>Family</x:v>
      </x:c>
      <x:c r="B1" s="65" t="str">
        <x:v>Identity</x:v>
      </x:c>
      <x:c r="C1" s="65" t="str">
        <x:v>Major Sources</x:v>
      </x:c>
      <x:c r="D1" s="65" t="str">
        <x:v>Moderate Sources</x:v>
      </x:c>
      <x:c r="E1" s="65" t="str">
        <x:v>Minor / Special Sources</x:v>
      </x:c>
      <x:c r="F1" s="37" t="str">
        <x:v>v7 Condition Rider Source</x:v>
      </x:c>
    </x:row>
    <x:row r="2">
      <x:c r="A2" s="48" t="str">
        <x:v>Mushroom</x:v>
      </x:c>
      <x:c r="B2" s="71" t="str">
        <x:v>Flesh, healing, mutation, adaptation, and body change.</x:v>
      </x:c>
      <x:c r="C2" s="71" t="str">
        <x:v>Effect Strength</x:v>
      </x:c>
      <x:c r="D2" s="71" t="str">
        <x:v>Duration; Extra Doses</x:v>
      </x:c>
      <x:c r="E2" s="71" t="str">
        <x:v>Save DC; Die Step</x:v>
      </x:c>
      <x:c r="F2" s="49" t="str">
        <x:v>Dreamspore Morel — Confused</x:v>
      </x:c>
    </x:row>
    <x:row r="3">
      <x:c r="A3" s="48" t="str">
        <x:v>Root</x:v>
      </x:c>
      <x:c r="B3" s="71" t="str">
        <x:v>Grounding, endurance, slow release, and deep medicine.</x:v>
      </x:c>
      <x:c r="C3" s="71" t="str">
        <x:v>Duration; Die Step</x:v>
      </x:c>
      <x:c r="D3" s="71" t="str">
        <x:v>Effect Strength; Extra Doses</x:v>
      </x:c>
      <x:c r="E3" s="71" t="str">
        <x:v>Save DC</x:v>
      </x:c>
      <x:c r="F3" s="49" t="str">
        <x:v>Oathroot — Paralyzed</x:v>
      </x:c>
    </x:row>
    <x:row r="4">
      <x:c r="A4" s="48" t="str">
        <x:v>Sap / Resin</x:v>
      </x:c>
      <x:c r="B4" s="71" t="str">
        <x:v>Sealing, preservation, oils, coatings, and lingering effects.</x:v>
      </x:c>
      <x:c r="C4" s="71" t="str">
        <x:v>Duration</x:v>
      </x:c>
      <x:c r="D4" s="71" t="str">
        <x:v>Effect Strength; Extra Doses</x:v>
      </x:c>
      <x:c r="E4" s="71" t="str">
        <x:v>Die Step</x:v>
      </x:c>
      <x:c r="F4" s="49" t="str">
        <x:v>Mirrorgum — Restrained</x:v>
      </x:c>
    </x:row>
    <x:row r="5">
      <x:c r="A5" s="48" t="str">
        <x:v>Moss / Lichen</x:v>
      </x:c>
      <x:c r="B5" s="71" t="str">
        <x:v>Resistance, survival, terrain adaptation, and environmental endurance.</x:v>
      </x:c>
      <x:c r="C5" s="71" t="str">
        <x:v>Duration</x:v>
      </x:c>
      <x:c r="D5" s="71" t="str">
        <x:v>Effect Strength; Area / Range; Extra Doses</x:v>
      </x:c>
      <x:c r="E5" s="71" t="str">
        <x:v>Save DC</x:v>
      </x:c>
      <x:c r="F5" s="49" t="str">
        <x:v>Dreamwatch Lichen — Frightened</x:v>
      </x:c>
    </x:row>
    <x:row r="6">
      <x:c r="A6" s="48" t="str">
        <x:v>Flower</x:v>
      </x:c>
      <x:c r="B6" s="71" t="str">
        <x:v>Senses, emotion, clarity, sleep, charm, and mental pressure.</x:v>
      </x:c>
      <x:c r="C6" s="71" t="str">
        <x:v>Save DC</x:v>
      </x:c>
      <x:c r="D6" s="71" t="str">
        <x:v>Effect Strength; Duration; Area / Range</x:v>
      </x:c>
      <x:c r="E6" s="71" t="str">
        <x:v>Die Step</x:v>
      </x:c>
      <x:c r="F6" s="49" t="str">
        <x:v>Fey Orchid — Charmed</x:v>
      </x:c>
    </x:row>
    <x:row r="7">
      <x:c r="A7" s="48" t="str">
        <x:v>Leaf / Vine</x:v>
      </x:c>
      <x:c r="B7" s="71" t="str">
        <x:v>Movement, breath, climbing, flexibility, speed, and agility.</x:v>
      </x:c>
      <x:c r="C7" s="71" t="str">
        <x:v>Duration</x:v>
      </x:c>
      <x:c r="D7" s="71" t="str">
        <x:v>Effect Strength; Area / Range</x:v>
      </x:c>
      <x:c r="E7" s="71" t="str">
        <x:v>Die Step</x:v>
      </x:c>
      <x:c r="F7" s="49" t="str">
        <x:v>Stormrunner Fern — Stunned</x:v>
      </x:c>
    </x:row>
    <x:row r="8">
      <x:c r="A8" s="48" t="str">
        <x:v>Thorn / Bark / Wood</x:v>
      </x:c>
      <x:c r="B8" s="71" t="str">
        <x:v>Armor, hardening, physical reinforcement, and fortitude.</x:v>
      </x:c>
      <x:c r="C8" s="71" t="str">
        <x:v>Effect Strength</x:v>
      </x:c>
      <x:c r="D8" s="71" t="str">
        <x:v>Duration; Save DC</x:v>
      </x:c>
      <x:c r="E8" s="71" t="str">
        <x:v>Extra Doses</x:v>
      </x:c>
      <x:c r="F8" s="49" t="str">
        <x:v>Crownthorn Knot — Blinded</x:v>
      </x:c>
    </x:row>
    <x:row r="9">
      <x:c r="A9" s="48" t="str">
        <x:v>Mineral / Salt / Ash</x:v>
      </x:c>
      <x:c r="B9" s="71" t="str">
        <x:v>Binding, purification, preservation, structure, and warding.</x:v>
      </x:c>
      <x:c r="C9" s="71" t="str">
        <x:v>Duration; Extra Doses</x:v>
      </x:c>
      <x:c r="D9" s="71" t="str">
        <x:v>Effect Strength; Save DC; Area / Range</x:v>
      </x:c>
      <x:c r="E9" s="71" t="str">
        <x:v>Type Direction</x:v>
      </x:c>
      <x:c r="F9" s="49" t="str">
        <x:v>Starfall Salt — Petrified</x:v>
      </x:c>
    </x:row>
    <x:row r="10">
      <x:c r="A10" s="50" t="str">
        <x:v>Venom / Poison Plant</x:v>
      </x:c>
      <x:c r="B10" s="72" t="str">
        <x:v>Toxic damage, weakening, paralysis, sleep, and stat damage.</x:v>
      </x:c>
      <x:c r="C10" s="72" t="str">
        <x:v>Effect Strength; Save DC</x:v>
      </x:c>
      <x:c r="D10" s="72" t="str">
        <x:v>Duration</x:v>
      </x:c>
      <x:c r="E10" s="72" t="str">
        <x:v>Die Step; Condition Rider</x:v>
      </x:c>
      <x:c r="F10" s="51" t="str">
        <x:v>Nightfang Cap — Poisoned</x:v>
      </x:c>
    </x:row>
  </x:sheetData>
  <x:pageMargins left="0.7" right="0.7" top="0.75" bottom="0.75" header="0.3" footer="0.3"/>
  <x:tableParts count="1">
    <x:tablePart xmlns:r="http://schemas.openxmlformats.org/officeDocument/2006/relationships" r:id="R12ba879b24534d0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86" hidden="0" customWidth="1"/>
  </x:cols>
  <x:sheetData>
    <x:row r="1">
      <x:c r="A1" s="36" t="str">
        <x:v>Attribute</x:v>
      </x:c>
      <x:c r="B1" s="65" t="str">
        <x:v>Player-Facing Display</x:v>
      </x:c>
      <x:c r="C1" s="37" t="str">
        <x:v>What It Does</x:v>
      </x:c>
    </x:row>
    <x:row r="2">
      <x:c r="A2" s="48" t="str">
        <x:v>Craft DC Reduction</x:v>
      </x:c>
      <x:c r="B2" s="71" t="str">
        <x:v>Craft DC -2 / -4 / -6</x:v>
      </x:c>
      <x:c r="C2" s="49" t="str">
        <x:v>Core ingredients reduce DC up to the cap of the finished brew rarity. Fourth-slot reductions only apply when explicitly printed.</x:v>
      </x:c>
    </x:row>
    <x:row r="3">
      <x:c r="A3" s="48" t="str">
        <x:v>Quality Steps</x:v>
      </x:c>
      <x:c r="B3" s="71" t="str">
        <x:v>Quality +1 / +2 / +3</x:v>
      </x:c>
      <x:c r="C3" s="49" t="str">
        <x:v>Each tier an ingredient sits above the formula grants one step. Every 3 steps raises finished rarity by one tier.</x:v>
      </x:c>
    </x:row>
    <x:row r="4">
      <x:c r="A4" s="48" t="str">
        <x:v>Effect Strength</x:v>
      </x:c>
      <x:c r="B4" s="71" t="str">
        <x:v>Effect +25%</x:v>
      </x:c>
      <x:c r="C4" s="49" t="str">
        <x:v>Adds whole base effect dice whenever the accumulated percentage can create them. Attached flat modifiers scale with the added dice.</x:v>
      </x:c>
    </x:row>
    <x:row r="5">
      <x:c r="A5" s="48" t="str">
        <x:v>Duration</x:v>
      </x:c>
      <x:c r="B5" s="71" t="str">
        <x:v>Duration +25%</x:v>
      </x:c>
      <x:c r="C5" s="49" t="str">
        <x:v>Adds whole base duration dice whenever possible. Die Step promotes minutes to hours, hours to days, and days to weeks.</x:v>
      </x:c>
    </x:row>
    <x:row r="6">
      <x:c r="A6" s="48" t="str">
        <x:v>Area / Range</x:v>
      </x:c>
      <x:c r="B6" s="71" t="str">
        <x:v>Area / Range +25%</x:v>
      </x:c>
      <x:c r="C6" s="49" t="str">
        <x:v>Improves splash, fumes, clouds, auras, thrown alchemy, or other supported formulas.</x:v>
      </x:c>
    </x:row>
    <x:row r="7">
      <x:c r="A7" s="48" t="str">
        <x:v>Extra Doses</x:v>
      </x:c>
      <x:c r="B7" s="71" t="str">
        <x:v>+1 Extra Dose</x:v>
      </x:c>
      <x:c r="C7" s="49" t="str">
        <x:v>Creates additional finished doses when the craft succeeds.</x:v>
      </x:c>
    </x:row>
    <x:row r="8">
      <x:c r="A8" s="48" t="str">
        <x:v>Save DC</x:v>
      </x:c>
      <x:c r="B8" s="71" t="str">
        <x:v>Save DC +1</x:v>
      </x:c>
      <x:c r="C8" s="49" t="str">
        <x:v>Raises saving throw DC for poisons, weakening effects, condition riders, sleep, charm, and hostile formulas.</x:v>
      </x:c>
    </x:row>
    <x:row r="9">
      <x:c r="A9" s="48" t="str">
        <x:v>Die Step</x:v>
      </x:c>
      <x:c r="B9" s="71" t="str">
        <x:v>Die step +1</x:v>
      </x:c>
      <x:c r="C9" s="49" t="str">
        <x:v>Upgrades the formula primary effect die and promotes supported duration units before percentage scaling.</x:v>
      </x:c>
    </x:row>
    <x:row r="10">
      <x:c r="A10" s="48" t="str">
        <x:v>Type Direction</x:v>
      </x:c>
      <x:c r="B10" s="71" t="str">
        <x:v>Sets type: Fire</x:v>
      </x:c>
      <x:c r="C10" s="49" t="str">
        <x:v>Determines damage, resistance, or elemental type when the recipe supports a directed type.</x:v>
      </x:c>
    </x:row>
    <x:row r="11">
      <x:c r="A11" s="48" t="str">
        <x:v>Condition Rider</x:v>
      </x:c>
      <x:c r="B11" s="71" t="str">
        <x:v>Rider: Paralyzed</x:v>
      </x:c>
      <x:c r="C11" s="49" t="str">
        <x:v>Adds the listed condition with save, duration, and repeat-save/escape timing. Core-family riders cost no rarity budget and activate only in Poison/Bomb formulas.</x:v>
      </x:c>
    </x:row>
    <x:row r="12">
      <x:c r="A12" s="48" t="str">
        <x:v>Condition Counteragent</x:v>
      </x:c>
      <x:c r="B12" s="71" t="str">
        <x:v>Sets immunity: Petrified</x:v>
      </x:c>
      <x:c r="C12" s="49" t="str">
        <x:v>Sets X for Elixir of X Immunity and may impose a minimum finished brew rarity without adding Quality Steps.</x:v>
      </x:c>
    </x:row>
    <x:row r="13">
      <x:c r="A13" s="50" t="str">
        <x:v>Condition Immunity</x:v>
      </x:c>
      <x:c r="B13" s="72" t="str">
        <x:v>Immunity: Petrified for 1 hour</x:v>
      </x:c>
      <x:c r="C13" s="51" t="str">
        <x:v>Immediately ends the selected condition if present and prevents it from affecting the user for 1 hour.</x:v>
      </x:c>
    </x:row>
  </x:sheetData>
  <x:pageMargins left="0.7" right="0.7" top="0.75" bottom="0.75" header="0.3" footer="0.3"/>
  <x:tableParts count="1">
    <x:tablePart xmlns:r="http://schemas.openxmlformats.org/officeDocument/2006/relationships" r:id="R69c7301f550849d9"/>
  </x:tableParts>
</x:worksheet>
</file>