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ables/table3.xml" ContentType="application/vnd.openxmlformats-officedocument.spreadsheetml.table+xml"/>
  <Override PartName="/xl/worksheets/sheet7.xml" ContentType="application/vnd.openxmlformats-officedocument.spreadsheetml.worksheet+xml"/>
  <Override PartName="/xl/worksheets/sheet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b531c555c6f4d06" /></Relationships>
</file>

<file path=xl/workbook.xml><?xml version="1.0" encoding="utf-8"?>
<x:workbook xmlns:x="http://schemas.openxmlformats.org/spreadsheetml/2006/main">
  <x:sheets>
    <x:sheet xmlns:r="http://schemas.openxmlformats.org/officeDocument/2006/relationships" name="Start Here" sheetId="1" r:id="R9cfe37d46ef84d7a"/>
    <x:sheet xmlns:r="http://schemas.openxmlformats.org/officeDocument/2006/relationships" name="Ingredients" sheetId="2" r:id="Rcd2eca1334004047"/>
    <x:sheet xmlns:r="http://schemas.openxmlformats.org/officeDocument/2006/relationships" name="Recipes" sheetId="3" r:id="R023f55d208134e82"/>
    <x:sheet xmlns:r="http://schemas.openxmlformats.org/officeDocument/2006/relationships" name="Refined Potions" sheetId="4" r:id="Re0ab280359de4de5"/>
    <x:sheet xmlns:r="http://schemas.openxmlformats.org/officeDocument/2006/relationships" name="Size &amp; Space" sheetId="5" r:id="Rc26913cc8a294ebf"/>
    <x:sheet xmlns:r="http://schemas.openxmlformats.org/officeDocument/2006/relationships" name="Elemental Breath Potions" sheetId="6" r:id="R0518c0e216384abe"/>
    <x:sheet xmlns:r="http://schemas.openxmlformats.org/officeDocument/2006/relationships" name="Save DC Calculator" sheetId="7" r:id="R1b13a5d90609499a"/>
    <x:sheet xmlns:r="http://schemas.openxmlformats.org/officeDocument/2006/relationships" name="Brew Quality" sheetId="8" r:id="Ra68dcb34743147e2"/>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8"/>
      <x:color rgb="F8FAFC"/>
      <x:name val="Carlito"/>
    </x:font>
    <x:font>
      <x:b/>
      <x:sz val="11"/>
      <x:color rgb="FACC15"/>
      <x:name val="Carlito"/>
    </x:font>
    <x:font>
      <x:b/>
      <x:sz val="11"/>
      <x:color rgb="FFFFFF"/>
      <x:name val="Carlito"/>
    </x:font>
    <x:font>
      <x:b/>
      <x:sz val="16"/>
      <x:color rgb="065F46"/>
      <x:name val="Carlito"/>
    </x:font>
  </x:fonts>
  <x:fills count="6">
    <x:fill>
      <x:patternFill patternType="none"/>
    </x:fill>
    <x:fill>
      <x:patternFill patternType="gray125"/>
    </x:fill>
    <x:fill>
      <x:patternFill patternType="solid">
        <x:fgColor rgb="172033"/>
      </x:patternFill>
    </x:fill>
    <x:fill>
      <x:patternFill patternType="solid">
        <x:fgColor rgb="24324A"/>
      </x:patternFill>
    </x:fill>
    <x:fill>
      <x:patternFill patternType="solid">
        <x:fgColor rgb="1F3A5F"/>
      </x:patternFill>
    </x:fill>
    <x:fill>
      <x:patternFill patternType="solid">
        <x:fgColor rgb="D1FAE5"/>
      </x:patternFill>
    </x:fill>
  </x:fills>
  <x:borders count="18">
    <x:border/>
    <x:border/>
    <x:border>
      <x:left>
        <x:color rgb="475569"/>
      </x:left>
      <x:top>
        <x:color rgb="475569"/>
      </x:top>
    </x:border>
    <x:border>
      <x:right>
        <x:color rgb="475569"/>
      </x:right>
      <x:top>
        <x:color rgb="475569"/>
      </x:top>
    </x:border>
    <x:border>
      <x:left>
        <x:color rgb="475569"/>
      </x:left>
    </x:border>
    <x:border>
      <x:right>
        <x:color rgb="475569"/>
      </x:right>
    </x:border>
    <x:border>
      <x:left>
        <x:color rgb="475569"/>
      </x:left>
      <x:bottom>
        <x:color rgb="475569"/>
      </x:bottom>
    </x:border>
    <x:border>
      <x:right>
        <x:color rgb="475569"/>
      </x:right>
      <x:bottom>
        <x:color rgb="475569"/>
      </x:bottom>
    </x:border>
    <x:border>
      <x:left>
        <x:color rgb="475569"/>
      </x:left>
      <x:top>
        <x:color rgb="475569"/>
      </x:top>
    </x:border>
    <x:border>
      <x:right>
        <x:color rgb="475569"/>
      </x:right>
      <x:top>
        <x:color rgb="475569"/>
      </x:top>
    </x:border>
    <x:border>
      <x:left>
        <x:color rgb="475569"/>
      </x:left>
    </x:border>
    <x:border>
      <x:right>
        <x:color rgb="475569"/>
      </x:right>
    </x:border>
    <x:border>
      <x:left>
        <x:color rgb="475569"/>
      </x:left>
      <x:bottom>
        <x:color rgb="475569"/>
      </x:bottom>
    </x:border>
    <x:border>
      <x:right>
        <x:color rgb="475569"/>
      </x:right>
      <x:bottom>
        <x:color rgb="475569"/>
      </x:bottom>
    </x:border>
    <x:border>
      <x:top>
        <x:color rgb="475569"/>
      </x:top>
    </x:border>
    <x:border>
      <x:bottom>
        <x:color rgb="475569"/>
      </x:bottom>
    </x:border>
    <x:border>
      <x:top>
        <x:color rgb="475569"/>
      </x:top>
    </x:border>
    <x:border>
      <x:bottom>
        <x:color rgb="475569"/>
      </x:bottom>
    </x:border>
  </x:borders>
  <x:cellStyleXfs count="1">
    <x:xf numFmtId="0" fontId="0" fillId="0" borderId="0"/>
  </x:cellStyleXfs>
  <x:cellXfs count="67">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vertic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vertical="center"/>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3" fillId="4" borderId="2" xfId="0" applyNumberFormat="1" applyFont="1" applyFill="1" applyBorder="1" applyAlignment="1">
      <x:alignment horizontal="center" vertical="center" wrapText="1"/>
    </x:xf>
    <x:xf numFmtId="0" fontId="3" fillId="4" borderId="3" xfId="0" applyNumberFormat="1" applyFont="1" applyFill="1" applyBorder="1" applyAlignment="1">
      <x:alignment horizontal="center" vertical="center" wrapText="1"/>
    </x:xf>
    <x:xf numFmtId="0" fontId="0" fillId="0" borderId="4" xfId="0" applyNumberFormat="1" applyFont="1" applyFill="1" applyBorder="1"/>
    <x:xf numFmtId="0" fontId="0" fillId="0" borderId="5" xfId="0" applyNumberFormat="1" applyFont="1" applyFill="1" applyBorder="1"/>
    <x:xf numFmtId="0" fontId="0" fillId="0" borderId="6" xfId="0" applyNumberFormat="1" applyFont="1" applyFill="1" applyBorder="1"/>
    <x:xf numFmtId="0" fontId="0" fillId="0" borderId="7" xfId="0" applyNumberFormat="1" applyFont="1" applyFill="1" applyBorder="1"/>
    <x:xf numFmtId="0" fontId="3" fillId="4" borderId="8" xfId="0" applyNumberFormat="1" applyFont="1" applyFill="1" applyBorder="1" applyAlignment="1">
      <x:alignment horizontal="center" vertical="center" wrapText="1"/>
    </x:xf>
    <x:xf numFmtId="0" fontId="3" fillId="4" borderId="9" xfId="0" applyNumberFormat="1" applyFont="1" applyFill="1" applyBorder="1" applyAlignment="1">
      <x:alignment horizontal="center" vertical="center" wrapText="1"/>
    </x:xf>
    <x:xf numFmtId="0" fontId="0" fillId="0" borderId="10" xfId="0" applyNumberFormat="1" applyFont="1" applyFill="1" applyBorder="1"/>
    <x:xf numFmtId="0" fontId="0" fillId="0" borderId="11" xfId="0" applyNumberFormat="1" applyFont="1" applyFill="1" applyBorder="1"/>
    <x:xf numFmtId="0" fontId="0" fillId="0" borderId="12" xfId="0" applyNumberFormat="1" applyFont="1" applyFill="1" applyBorder="1"/>
    <x:xf numFmtId="0" fontId="0" fillId="0" borderId="13" xfId="0" applyNumberFormat="1" applyFont="1" applyFill="1" applyBorder="1"/>
    <x:xf numFmtId="0" fontId="0" fillId="0" borderId="4" xfId="0" applyNumberFormat="1" applyFont="1" applyFill="1" applyBorder="1" applyAlignment="1">
      <x:alignment wrapText="1"/>
    </x:xf>
    <x:xf numFmtId="0" fontId="0" fillId="0" borderId="5" xfId="0" applyNumberFormat="1" applyFont="1" applyFill="1" applyBorder="1" applyAlignment="1">
      <x:alignment wrapText="1"/>
    </x:xf>
    <x:xf numFmtId="0" fontId="0" fillId="0" borderId="6" xfId="0" applyNumberFormat="1" applyFont="1" applyFill="1" applyBorder="1" applyAlignment="1">
      <x:alignment wrapText="1"/>
    </x:xf>
    <x:xf numFmtId="0" fontId="0" fillId="0" borderId="7"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11" xfId="0" applyNumberFormat="1" applyFont="1" applyFill="1" applyBorder="1" applyAlignment="1">
      <x:alignment wrapText="1"/>
    </x:xf>
    <x:xf numFmtId="0" fontId="0" fillId="0" borderId="12" xfId="0" applyNumberFormat="1" applyFont="1" applyFill="1" applyBorder="1" applyAlignment="1">
      <x:alignment wrapText="1"/>
    </x:xf>
    <x:xf numFmtId="0" fontId="0" fillId="0" borderId="13" xfId="0" applyNumberFormat="1" applyFont="1" applyFill="1" applyBorder="1" applyAlignment="1">
      <x:alignment wrapText="1"/>
    </x:xf>
    <x:xf numFmtId="0" fontId="3" fillId="4" borderId="14" xfId="0" applyNumberFormat="1" applyFont="1" applyFill="1" applyBorder="1" applyAlignment="1">
      <x:alignment horizontal="center" vertical="center" wrapText="1"/>
    </x:xf>
    <x:xf numFmtId="0" fontId="0" fillId="0" borderId="0" xfId="0" applyNumberFormat="1" applyFont="1" applyFill="1" applyBorder="1"/>
    <x:xf numFmtId="0" fontId="0" fillId="0" borderId="15" xfId="0" applyNumberFormat="1" applyFont="1" applyFill="1" applyBorder="1"/>
    <x:xf numFmtId="0" fontId="3" fillId="4" borderId="16" xfId="0" applyNumberFormat="1" applyFont="1" applyFill="1" applyBorder="1" applyAlignment="1">
      <x:alignment horizontal="center" vertical="center" wrapText="1"/>
    </x:xf>
    <x:xf numFmtId="0" fontId="0" fillId="0" borderId="17" xfId="0" applyNumberFormat="1" applyFont="1" applyFill="1" applyBorder="1"/>
    <x:xf numFmtId="0" fontId="0" fillId="0" borderId="0" xfId="0" applyNumberFormat="1" applyFont="1" applyFill="1" applyBorder="1" applyAlignment="1">
      <x:alignment wrapText="1"/>
    </x:xf>
    <x:xf numFmtId="0" fontId="0" fillId="0" borderId="15"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17" xfId="0" applyNumberFormat="1" applyFont="1" applyFill="1" applyBorder="1" applyAlignment="1">
      <x:alignment wrapText="1"/>
    </x:xf>
    <x:xf numFmtId="0" fontId="0" fillId="5" borderId="7" xfId="0" applyNumberFormat="1" applyFont="1" applyFill="1" applyBorder="1"/>
    <x:xf numFmtId="0" fontId="4" fillId="5" borderId="7" xfId="0" applyNumberFormat="1" applyFont="1" applyFill="1" applyBorder="1"/>
    <x:xf numFmtId="0" fontId="4" fillId="5" borderId="7" xfId="0" applyNumberFormat="1" applyFont="1" applyFill="1" applyBorder="1" applyAlignment="1">
      <x:alignment horizontal="center"/>
    </x:xf>
    <x:xf numFmtId="0" fontId="0" fillId="5" borderId="13" xfId="0" applyNumberFormat="1" applyFont="1" applyFill="1" applyBorder="1"/>
    <x:xf numFmtId="0" fontId="4" fillId="5" borderId="13" xfId="0" applyNumberFormat="1" applyFont="1" applyFill="1" applyBorder="1"/>
    <x:xf numFmtId="0" fontId="4" fillId="5" borderId="13" xfId="0" applyNumberFormat="1" applyFont="1" applyFill="1" applyBorder="1" applyAlignment="1">
      <x:alignment horizontal="center"/>
    </x:xf>
    <x:xf numFmtId="0" fontId="0" fillId="0" borderId="2" xfId="0" applyNumberFormat="1" applyFont="1" applyFill="1" applyBorder="1" applyAlignment="1">
      <x:alignment wrapText="1"/>
    </x:xf>
    <x:xf numFmtId="0" fontId="0" fillId="0" borderId="14"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8" xfId="0" applyNumberFormat="1" applyFont="1" applyFill="1" applyBorder="1" applyAlignment="1">
      <x:alignment wrapText="1"/>
    </x:xf>
    <x:xf numFmtId="0" fontId="0" fillId="0" borderId="16" xfId="0" applyNumberFormat="1" applyFont="1" applyFill="1" applyBorder="1" applyAlignment="1">
      <x:alignment wrapText="1"/>
    </x:xf>
    <x:xf numFmtId="0" fontId="0" fillId="0" borderId="9" xfId="0" applyNumberFormat="1" applyFont="1" applyFill="1" applyBorder="1" applyAlignment="1">
      <x:alignment wrapText="1"/>
    </x:xf>
  </x:cellXfs>
  <x:cellStyles count="1">
    <x:cellStyle name="Normal" xfId="0"/>
  </x:cellStyles>
  <x:dxfs count="15">
    <x:dxf>
      <x:font>
        <x:b/>
        <x:color rgb="111827"/>
      </x:font>
      <x:fill>
        <x:patternFill patternType="solid">
          <x:bgColor rgb="E2E8F0"/>
        </x:patternFill>
      </x:fill>
    </x:dxf>
    <x:dxf>
      <x:font>
        <x:b/>
        <x:color rgb="111827"/>
      </x:font>
      <x:fill>
        <x:patternFill patternType="solid">
          <x:bgColor rgb="BBF7D0"/>
        </x:patternFill>
      </x:fill>
    </x:dxf>
    <x:dxf>
      <x:font>
        <x:b/>
        <x:color rgb="111827"/>
      </x:font>
      <x:fill>
        <x:patternFill patternType="solid">
          <x:bgColor rgb="BFDBFE"/>
        </x:patternFill>
      </x:fill>
    </x:dxf>
    <x:dxf>
      <x:font>
        <x:b/>
        <x:color rgb="111827"/>
      </x:font>
      <x:fill>
        <x:patternFill patternType="solid">
          <x:bgColor rgb="DDD6FE"/>
        </x:patternFill>
      </x:fill>
    </x:dxf>
    <x:dxf>
      <x:font>
        <x:b/>
        <x:color rgb="111827"/>
      </x:font>
      <x:fill>
        <x:patternFill patternType="solid">
          <x:bgColor rgb="FDE68A"/>
        </x:patternFill>
      </x:fill>
    </x:dxf>
    <x:dxf>
      <x:font>
        <x:b/>
        <x:color rgb="111827"/>
      </x:font>
      <x:fill>
        <x:patternFill patternType="solid">
          <x:bgColor rgb="DBEAFE"/>
        </x:patternFill>
      </x:fill>
    </x:dxf>
    <x:dxf>
      <x:font>
        <x:b/>
        <x:color rgb="111827"/>
      </x:font>
      <x:fill>
        <x:patternFill patternType="solid">
          <x:bgColor rgb="FECACA"/>
        </x:patternFill>
      </x:fill>
    </x:dxf>
    <x:dxf>
      <x:font>
        <x:b/>
        <x:color rgb="111827"/>
      </x:font>
      <x:fill>
        <x:patternFill patternType="solid">
          <x:bgColor rgb="FED7AA"/>
        </x:patternFill>
      </x:fill>
    </x:dxf>
    <x:dxf>
      <x:font>
        <x:b/>
        <x:color rgb="111827"/>
      </x:font>
      <x:fill>
        <x:patternFill patternType="solid">
          <x:bgColor rgb="D1FAE5"/>
        </x:patternFill>
      </x:fill>
    </x:dxf>
    <x:dxf>
      <x:font>
        <x:b/>
        <x:color rgb="111827"/>
      </x:font>
      <x:fill>
        <x:patternFill patternType="solid">
          <x:bgColor rgb="FEF3C7"/>
        </x:patternFill>
      </x:fill>
    </x:dxf>
    <x:dxf>
      <x:font>
        <x:b/>
        <x:color rgb="111827"/>
      </x:font>
      <x:fill>
        <x:patternFill patternType="solid">
          <x:bgColor rgb="E2E8F0"/>
        </x:patternFill>
      </x:fill>
    </x:dxf>
    <x:dxf>
      <x:font>
        <x:b/>
        <x:color rgb="111827"/>
      </x:font>
      <x:fill>
        <x:patternFill patternType="solid">
          <x:bgColor rgb="BBF7D0"/>
        </x:patternFill>
      </x:fill>
    </x:dxf>
    <x:dxf>
      <x:font>
        <x:b/>
        <x:color rgb="111827"/>
      </x:font>
      <x:fill>
        <x:patternFill patternType="solid">
          <x:bgColor rgb="BFDBFE"/>
        </x:patternFill>
      </x:fill>
    </x:dxf>
    <x:dxf>
      <x:font>
        <x:b/>
        <x:color rgb="111827"/>
      </x:font>
      <x:fill>
        <x:patternFill patternType="solid">
          <x:bgColor rgb="DDD6FE"/>
        </x:patternFill>
      </x:fill>
    </x:dxf>
    <x:dxf>
      <x:font>
        <x:b/>
        <x:color rgb="111827"/>
      </x:font>
      <x:fill>
        <x:patternFill patternType="solid">
          <x:bgColor rgb="FDE68A"/>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cfa4983042c4de7" /><Relationship Type="http://schemas.openxmlformats.org/officeDocument/2006/relationships/theme" Target="/xl/theme/theme1.xml" Id="Rae106035f7d0413f" /><Relationship Type="http://schemas.openxmlformats.org/officeDocument/2006/relationships/sharedStrings" Target="/xl/sharedStrings.xml" Id="R7606c17c6e4d4a57" /><Relationship Type="http://schemas.openxmlformats.org/officeDocument/2006/relationships/worksheet" Target="/xl/worksheets/sheet1.xml" Id="R9cfe37d46ef84d7a" /><Relationship Type="http://schemas.openxmlformats.org/officeDocument/2006/relationships/worksheet" Target="/xl/worksheets/sheet2.xml" Id="Rcd2eca1334004047" /><Relationship Type="http://schemas.openxmlformats.org/officeDocument/2006/relationships/worksheet" Target="/xl/worksheets/sheet3.xml" Id="R023f55d208134e82" /><Relationship Type="http://schemas.openxmlformats.org/officeDocument/2006/relationships/worksheet" Target="/xl/worksheets/sheet4.xml" Id="Re0ab280359de4de5" /><Relationship Type="http://schemas.openxmlformats.org/officeDocument/2006/relationships/worksheet" Target="/xl/worksheets/sheet5.xml" Id="Rc26913cc8a294ebf" /><Relationship Type="http://schemas.openxmlformats.org/officeDocument/2006/relationships/worksheet" Target="/xl/worksheets/sheet6.xml" Id="R0518c0e216384abe" /><Relationship Type="http://schemas.openxmlformats.org/officeDocument/2006/relationships/worksheet" Target="/xl/worksheets/sheet7.xml" Id="R1b13a5d90609499a" /><Relationship Type="http://schemas.openxmlformats.org/officeDocument/2006/relationships/worksheet" Target="/xl/worksheets/sheet8.xml" Id="Ra68dcb34743147e2" /></Relationships>
</file>

<file path=xl/drawings/_rels/drawing1.xml.rels>&#65279;<?xml version="1.0" encoding="utf-8"?><Relationships xmlns="http://schemas.openxmlformats.org/package/2006/relationships"><Relationship Type="http://schemas.openxmlformats.org/officeDocument/2006/relationships/chart" Target="/xl/drawings/charts/chart1.xml" Id="R0f3887c657344e0a"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Brews by Type</a:t>
            </a:r>
          </a:p>
        </c:rich>
      </c:tx>
      <c:overlay val="0"/>
    </c:title>
    <c:autoTitleDeleted val="0"/>
    <c:plotArea>
      <c:layout/>
      <c:barChart>
        <c:barDir val="col"/>
        <c:grouping val="clustered"/>
        <c:varyColors val="0"/>
        <c:ser>
          <c:idx val="0"/>
          <c:order val="0"/>
          <c:tx>
            <c:v>Count</c:v>
          </c:tx>
          <c:cat>
            <c:strRef>
              <c:f>'Start Here'!$D$6:$D$10</c:f>
              <c:strCache>
                <c:ptCount val="0"/>
              </c:strCache>
            </c:strRef>
          </c:cat>
          <c:val>
            <c:numRef>
              <c:f>'Start Here'!$E$6:$E$10</c:f>
              <c:numCache>
                <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11</xdr:row>
      <xdr:rowOff>0</xdr:rowOff>
    </xdr:from>
    <xdr:to>
      <xdr:col>9</xdr:col>
      <xdr:colOff>0</xdr:colOff>
      <xdr:row>27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0f3887c657344e0a"/>
        </a:graphicData>
      </a:graphic>
    </xdr:graphicFrame>
    <xdr:clientData/>
  </xdr:twoCellAnchor>
</xdr:wsDr>
</file>

<file path=xl/tables/table1.xml><?xml version="1.0" encoding="utf-8"?>
<x:table xmlns:x="http://schemas.openxmlformats.org/spreadsheetml/2006/main" id="1" name="AlchemyIngredientsV10" displayName="AlchemyIngredientsV10" ref="A1:G232" headerRowCount="1">
  <x:tableColumns count="7">
    <x:tableColumn id="1" name="Slot"/>
    <x:tableColumn id="2" name="Family"/>
    <x:tableColumn id="3" name="Rarity"/>
    <x:tableColumn id="4" name="Ingredient"/>
    <x:tableColumn id="5" name="Visible Tags"/>
    <x:tableColumn id="6" name="Brew Impact"/>
    <x:tableColumn id="7" name="Physical Description"/>
  </x:tableColumns>
  <x:tableStyleInfo name="TableStyleMedium2" showRowStripes="1"/>
</x:table>
</file>

<file path=xl/tables/table2.xml><?xml version="1.0" encoding="utf-8"?>
<x:table xmlns:x="http://schemas.openxmlformats.org/spreadsheetml/2006/main" id="2" name="AlchemyRecipesV10" displayName="AlchemyRecipesV10" ref="A1:L115" headerRowCount="1">
  <x:tableColumns count="12">
    <x:tableColumn id="1" name="Type"/>
    <x:tableColumn id="2" name="Recipe Group"/>
    <x:tableColumn id="3" name="Recipe"/>
    <x:tableColumn id="4" name="Rarity"/>
    <x:tableColumn id="5" name="Base Craft DC"/>
    <x:tableColumn id="6" name="Core Ingredient 1"/>
    <x:tableColumn id="7" name="Core Ingredient 2"/>
    <x:tableColumn id="8" name="Core Ingredient 3"/>
    <x:tableColumn id="9" name="Required Fourth-Slot Tags"/>
    <x:tableColumn id="10" name="Duration"/>
    <x:tableColumn id="11" name="Base Effect"/>
    <x:tableColumn id="12" name="Use"/>
  </x:tableColumns>
  <x:tableStyleInfo name="TableStyleMedium2" showRowStripes="1"/>
</x:table>
</file>

<file path=xl/tables/table3.xml><?xml version="1.0" encoding="utf-8"?>
<x:table xmlns:x="http://schemas.openxmlformats.org/spreadsheetml/2006/main" id="3" name="ElementalBreathPotionsV10" displayName="ElementalBreathPotionsV10" ref="A1:J11" headerRowCount="1">
  <x:tableColumns count="10">
    <x:tableColumn id="1" name="Potion"/>
    <x:tableColumn id="2" name="Rarity"/>
    <x:tableColumn id="3" name="Base Craft DC"/>
    <x:tableColumn id="4" name="Required Tag"/>
    <x:tableColumn id="5" name="Damage"/>
    <x:tableColumn id="6" name="Area"/>
    <x:tableColumn id="7" name="Save"/>
    <x:tableColumn id="8" name="Uses"/>
    <x:tableColumn id="9" name="Duration"/>
    <x:tableColumn id="10" name="Core Formula"/>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c3ba6358a3a544dc" /></Relationships>
</file>

<file path=xl/worksheets/_rels/sheet2.xml.rels>&#65279;<?xml version="1.0" encoding="utf-8"?><Relationships xmlns="http://schemas.openxmlformats.org/package/2006/relationships"><Relationship Type="http://schemas.openxmlformats.org/officeDocument/2006/relationships/table" Target="/xl/tables/table1.xml" Id="R813f957dd91848dc" /></Relationships>
</file>

<file path=xl/worksheets/_rels/sheet3.xml.rels>&#65279;<?xml version="1.0" encoding="utf-8"?><Relationships xmlns="http://schemas.openxmlformats.org/package/2006/relationships"><Relationship Type="http://schemas.openxmlformats.org/officeDocument/2006/relationships/table" Target="/xl/tables/table2.xml" Id="R0ce0b74912eb4414" /></Relationships>
</file>

<file path=xl/worksheets/_rels/sheet6.xml.rels>&#65279;<?xml version="1.0" encoding="utf-8"?><Relationships xmlns="http://schemas.openxmlformats.org/package/2006/relationships"><Relationship Type="http://schemas.openxmlformats.org/officeDocument/2006/relationships/table" Target="/xl/tables/table3.xml" Id="Rb4c4bf38dd484291" /></Relationships>
</file>

<file path=xl/worksheets/sheet1.xml><?xml version="1.0" encoding="utf-8"?>
<x:worksheet xmlns:x="http://schemas.openxmlformats.org/spreadsheetml/2006/main">
  <x:sheetFormatPr defaultRowHeight="15"/>
  <x:cols>
    <x:col min="1" max="1" width="29" hidden="0" customWidth="1"/>
    <x:col min="2" max="2" width="84" hidden="0" customWidth="1"/>
    <x:col min="4" max="4" width="18" hidden="0" customWidth="1"/>
    <x:col min="5" max="5" width="12" hidden="0" customWidth="1"/>
  </x:cols>
  <x:sheetData>
    <x:row r="1" ht="28" customHeight="1">
      <x:c r="A1" s="5" t="str">
        <x:v>DNDNext Alchemy Potion Refinement Codex v10</x:v>
      </x:c>
      <x:c r="B1" s="5"/>
      <x:c r="C1" s="5"/>
      <x:c r="D1" s="5"/>
      <x:c r="E1" s="5"/>
      <x:c r="F1" s="5"/>
      <x:c r="G1" s="5"/>
      <x:c r="H1" s="5"/>
      <x:c r="I1" s="5"/>
    </x:row>
    <x:row r="2" ht="28" customHeight="1">
      <x:c r="A2" s="5"/>
      <x:c r="B2" s="5"/>
      <x:c r="C2" s="5"/>
      <x:c r="D2" s="5"/>
      <x:c r="E2" s="5"/>
      <x:c r="F2" s="5"/>
      <x:c r="G2" s="5"/>
      <x:c r="H2" s="5"/>
      <x:c r="I2" s="5"/>
    </x:row>
    <x:row r="4">
      <x:c r="A4" s="12" t="str">
        <x:v>v10 Rules and Renames</x:v>
      </x:c>
      <x:c r="B4" s="12"/>
      <x:c r="C4" s="12"/>
      <x:c r="D4" s="12"/>
      <x:c r="E4" s="12"/>
      <x:c r="F4" s="12"/>
      <x:c r="G4" s="12"/>
      <x:c r="H4" s="12"/>
      <x:c r="I4" s="12"/>
    </x:row>
    <x:row r="5">
      <x:c r="A5" s="26" t="str">
        <x:v>Topic</x:v>
      </x:c>
      <x:c r="B5" s="27" t="str">
        <x:v>Player-facing rule</x:v>
      </x:c>
      <x:c r="D5" s="26" t="str">
        <x:v>Brew Type</x:v>
      </x:c>
      <x:c r="E5" s="27" t="str">
        <x:v>Count</x:v>
      </x:c>
    </x:row>
    <x:row r="6">
      <x:c r="A6" s="38" t="str">
        <x:v>Holy / Radiant</x:v>
      </x:c>
      <x:c r="B6" s="39" t="str">
        <x:v>Holy and Radiant are interchangeable for recipe matching. Player cards display the shared direction tag as Radiant.</x:v>
      </x:c>
      <x:c r="D6" s="28" t="str">
        <x:v>Potions</x:v>
      </x:c>
      <x:c r="E6" s="29" t="n">
        <x:v>34</x:v>
      </x:c>
    </x:row>
    <x:row r="7">
      <x:c r="A7" s="38" t="str">
        <x:v>Potion of Growth</x:v>
      </x:c>
      <x:c r="B7" s="39" t="str">
        <x:v>For 1d4 hours, increase one size category, gain Advantage on Strength checks and saves, and deal +1d4 damage per size step. Each complete Effect +100% adds another size step and another 1d4.</x:v>
      </x:c>
      <x:c r="D7" s="28" t="str">
        <x:v>Poisons</x:v>
      </x:c>
      <x:c r="E7" s="29" t="n">
        <x:v>12</x:v>
      </x:c>
    </x:row>
    <x:row r="8">
      <x:c r="A8" s="38" t="str">
        <x:v>Potion of Diminution</x:v>
      </x:c>
      <x:c r="B8" s="39" t="str">
        <x:v>For 1d4 hours, decrease one size category, gain Advantage on Dexterity checks, and gain +1 AC per size step. It imposes no Strength penalty. Each complete Effect +100% adds another step and +1 AC.</x:v>
      </x:c>
      <x:c r="D8" s="28" t="str">
        <x:v>Bombs</x:v>
      </x:c>
      <x:c r="E8" s="29" t="n">
        <x:v>20</x:v>
      </x:c>
    </x:row>
    <x:row r="9">
      <x:c r="A9" s="38" t="str">
        <x:v>Potion of Physical Prowess</x:v>
      </x:c>
      <x:c r="B9" s="39" t="str">
        <x:v>Advantage on Strength-, Dexterity-, and Constitution-based ability checks; climbing speed equals walking speed. Each complete Effect +100% adds +1 to those checks.</x:v>
      </x:c>
      <x:c r="D9" s="28" t="str">
        <x:v>Elixirs</x:v>
      </x:c>
      <x:c r="E9" s="29" t="n">
        <x:v>26</x:v>
      </x:c>
    </x:row>
    <x:row r="10">
      <x:c r="A10" s="38" t="str">
        <x:v>Potion of Flying</x:v>
      </x:c>
      <x:c r="B10" s="39" t="str">
        <x:v>Flying speed begins equal to walking speed. Effect bonuses increase flying speed by the same percentage.</x:v>
      </x:c>
      <x:c r="D10" s="30" t="str">
        <x:v>Oils</x:v>
      </x:c>
      <x:c r="E10" s="31" t="n">
        <x:v>22</x:v>
      </x:c>
    </x:row>
    <x:row r="11">
      <x:c r="A11" s="38" t="str">
        <x:v>Potion of Heroism</x:v>
      </x:c>
      <x:c r="B11" s="39" t="str">
        <x:v>Requires a Holy Component carrying Radiant or Holy. Grants a modifiable 1d10 temporary hit points and Bless for 1 hour.</x:v>
      </x:c>
    </x:row>
    <x:row r="12">
      <x:c r="A12" s="38" t="str">
        <x:v>Potion of Storm Giant Transformation</x:v>
      </x:c>
      <x:c r="B12" s="39" t="str">
        <x:v>Legendary. For 1 day, become Huge, occupy a 15-by-15-foot space, and Strength becomes 29 unless already higher.</x:v>
      </x:c>
    </x:row>
    <x:row r="13">
      <x:c r="A13" s="40" t="str">
        <x:v>Elemental Breath Potions</x:v>
      </x:c>
      <x:c r="B13" s="41" t="str">
        <x:v>All ten variants are Uncommon and deal a modifiable 3d6 in a 15-foot cone, up to three uses during 1 hour.</x:v>
      </x:c>
    </x:row>
  </x:sheetData>
  <x:mergeCells>
    <x:mergeCell ref="A1:I2"/>
    <x:mergeCell ref="A4:I4"/>
  </x:mergeCells>
  <x:pageMargins left="0.7" right="0.7" top="0.75" bottom="0.75" header="0.3" footer="0.3"/>
  <x:drawing xmlns:r="http://schemas.openxmlformats.org/officeDocument/2006/relationships" r:id="Rc3ba6358a3a544dc"/>
</x:worksheet>
</file>

<file path=xl/worksheets/sheet2.xml><?xml version="1.0" encoding="utf-8"?>
<x:worksheet xmlns:x="http://schemas.openxmlformats.org/spreadsheetml/2006/main">
  <x:sheetFormatPr defaultRowHeight="15"/>
  <x:cols>
    <x:col min="1" max="1" width="13" hidden="0" customWidth="1"/>
    <x:col min="2" max="2" width="23" hidden="0" customWidth="1"/>
    <x:col min="3" max="3" width="13" hidden="0" customWidth="1"/>
    <x:col min="4" max="4" width="28" hidden="0" customWidth="1"/>
    <x:col min="5" max="5" width="32" hidden="0" customWidth="1"/>
    <x:col min="6" max="6" width="48" hidden="0" customWidth="1"/>
    <x:col min="7" max="7" width="64" hidden="0" customWidth="1"/>
  </x:cols>
  <x:sheetData>
    <x:row r="1">
      <x:c r="A1" s="26" t="str">
        <x:v>Slot</x:v>
      </x:c>
      <x:c r="B1" s="46" t="str">
        <x:v>Family</x:v>
      </x:c>
      <x:c r="C1" s="46" t="str">
        <x:v>Rarity</x:v>
      </x:c>
      <x:c r="D1" s="46" t="str">
        <x:v>Ingredient</x:v>
      </x:c>
      <x:c r="E1" s="46" t="str">
        <x:v>Visible Tags</x:v>
      </x:c>
      <x:c r="F1" s="46" t="str">
        <x:v>Brew Impact</x:v>
      </x:c>
      <x:c r="G1" s="27" t="str">
        <x:v>Physical Description</x:v>
      </x:c>
    </x:row>
    <x:row r="2">
      <x:c r="A2" s="38" t="str">
        <x:v>Core</x:v>
      </x:c>
      <x:c r="B2" s="51" t="str">
        <x:v>Mushroom</x:v>
      </x:c>
      <x:c r="C2" s="51" t="str">
        <x:v>Common</x:v>
      </x:c>
      <x:c r="D2" s="51" t="str">
        <x:v>Bramblecup Fungus</x:v>
      </x:c>
      <x:c r="E2" s="51" t="str"/>
      <x:c r="F2" s="51" t="str">
        <x:v>No Craft DC reduction; Effect +25%</x:v>
      </x:c>
      <x:c r="G2" s="39" t="str">
        <x:v>A russet cup fungus with thornlike ridges around its rim. Its flesh is chewy, its underside feels like suede, and it smells of crushed hazelnuts and damp hedgewood.</x:v>
      </x:c>
    </x:row>
    <x:row r="3">
      <x:c r="A3" s="38" t="str">
        <x:v>Core</x:v>
      </x:c>
      <x:c r="B3" s="51" t="str">
        <x:v>Mushroom</x:v>
      </x:c>
      <x:c r="C3" s="51" t="str">
        <x:v>Common</x:v>
      </x:c>
      <x:c r="D3" s="51" t="str">
        <x:v>Candlecap</x:v>
      </x:c>
      <x:c r="E3" s="51" t="str"/>
      <x:c r="F3" s="51" t="str">
        <x:v>No Craft DC reduction; Effect +25%</x:v>
      </x:c>
      <x:c r="G3" s="39" t="str">
        <x:v>A thumb-sized ivory cap with a waxy rim that catches light like a candle. It feels cool and slick, smells of beeswax and damp cedar, and squeaks faintly when cut.</x:v>
      </x:c>
    </x:row>
    <x:row r="4">
      <x:c r="A4" s="38" t="str">
        <x:v>Core</x:v>
      </x:c>
      <x:c r="B4" s="51" t="str">
        <x:v>Mushroom</x:v>
      </x:c>
      <x:c r="C4" s="51" t="str">
        <x:v>Common</x:v>
      </x:c>
      <x:c r="D4" s="51" t="str">
        <x:v>Dewbutton Cap</x:v>
      </x:c>
      <x:c r="E4" s="51" t="str"/>
      <x:c r="F4" s="51" t="str">
        <x:v>No Craft DC reduction; Duration +25%</x:v>
      </x:c>
      <x:c r="G4" s="39" t="str">
        <x:v>Tiny pearl-gray caps bead with cool water even in dry rooms. They smell of rain on slate and fresh bread yeast, and pop softly between the fingers.</x:v>
      </x:c>
    </x:row>
    <x:row r="5">
      <x:c r="A5" s="38" t="str">
        <x:v>Core</x:v>
      </x:c>
      <x:c r="B5" s="51" t="str">
        <x:v>Mushroom</x:v>
      </x:c>
      <x:c r="C5" s="51" t="str">
        <x:v>Common</x:v>
      </x:c>
      <x:c r="D5" s="51" t="str">
        <x:v>Hearthcap Mushroom</x:v>
      </x:c>
      <x:c r="E5" s="51" t="str"/>
      <x:c r="F5" s="51" t="str">
        <x:v>No Craft DC reduction; Effect +25%</x:v>
      </x:c>
      <x:c r="G5" s="39" t="str">
        <x:v>A squat brown cap with warm rust freckles and cream gills. It smells like hearth smoke over damp soil, and the stem feels spongy but firm.</x:v>
      </x:c>
    </x:row>
    <x:row r="6">
      <x:c r="A6" s="38" t="str">
        <x:v>Core</x:v>
      </x:c>
      <x:c r="B6" s="51" t="str">
        <x:v>Mushroom</x:v>
      </x:c>
      <x:c r="C6" s="51" t="str">
        <x:v>Common</x:v>
      </x:c>
      <x:c r="D6" s="51" t="str">
        <x:v>Mossbutton</x:v>
      </x:c>
      <x:c r="E6" s="51" t="str"/>
      <x:c r="F6" s="51" t="str">
        <x:v>No Craft DC reduction; Duration +25%</x:v>
      </x:c>
      <x:c r="G6" s="39" t="str">
        <x:v>A round olive cap cushioned in velvet fuzz. It compresses like wet felt, smells of mossy stone and nutmeg, and leaves green dust beneath the nails.</x:v>
      </x:c>
    </x:row>
    <x:row r="7">
      <x:c r="A7" s="38" t="str">
        <x:v>Core</x:v>
      </x:c>
      <x:c r="B7" s="51" t="str">
        <x:v>Mushroom</x:v>
      </x:c>
      <x:c r="C7" s="51" t="str">
        <x:v>Uncommon</x:v>
      </x:c>
      <x:c r="D7" s="51" t="str">
        <x:v>Cluster Puffball</x:v>
      </x:c>
      <x:c r="E7" s="51" t="str"/>
      <x:c r="F7" s="51" t="str">
        <x:v>Craft DC -2; Effect +25%; +1 Extra Dose</x:v>
      </x:c>
      <x:c r="G7" s="39" t="str">
        <x:v>A knot of soft round puffballs that sighs out chalky spores when tapped. The dust smells dry, nutty, and faintly medicinal.</x:v>
      </x:c>
    </x:row>
    <x:row r="8">
      <x:c r="A8" s="38" t="str">
        <x:v>Core</x:v>
      </x:c>
      <x:c r="B8" s="51" t="str">
        <x:v>Mushroom</x:v>
      </x:c>
      <x:c r="C8" s="51" t="str">
        <x:v>Uncommon</x:v>
      </x:c>
      <x:c r="D8" s="51" t="str">
        <x:v>Embergill Mushroom</x:v>
      </x:c>
      <x:c r="E8" s="51" t="str">
        <x:v>Fire</x:v>
      </x:c>
      <x:c r="F8" s="51" t="str">
        <x:v>Craft DC -2; Effect +25%; Duration +50%</x:v>
      </x:c>
      <x:c r="G8" s="39" t="str">
        <x:v>A russet mushroom with orange gills that glow like banked coals. Its stem is warm and fibrous, and it smells of toasted grain, pepper, and wet bark.</x:v>
      </x:c>
    </x:row>
    <x:row r="9">
      <x:c r="A9" s="38" t="str">
        <x:v>Core</x:v>
      </x:c>
      <x:c r="B9" s="51" t="str">
        <x:v>Mushroom</x:v>
      </x:c>
      <x:c r="C9" s="51" t="str">
        <x:v>Uncommon</x:v>
      </x:c>
      <x:c r="D9" s="51" t="str">
        <x:v>Ghostcap Mushroom</x:v>
      </x:c>
      <x:c r="E9" s="51" t="str"/>
      <x:c r="F9" s="51" t="str">
        <x:v>Craft DC -2; Effect +50%; Duration +25%</x:v>
      </x:c>
      <x:c r="G9" s="39" t="str">
        <x:v>A translucent white cap with a smoky blue center and thread-fine gills. It is cold to the touch and carries a faint scent of cellar stone, mint, and wet linen.</x:v>
      </x:c>
    </x:row>
    <x:row r="10">
      <x:c r="A10" s="38" t="str">
        <x:v>Core</x:v>
      </x:c>
      <x:c r="B10" s="51" t="str">
        <x:v>Mushroom</x:v>
      </x:c>
      <x:c r="C10" s="51" t="str">
        <x:v>Uncommon</x:v>
      </x:c>
      <x:c r="D10" s="51" t="str">
        <x:v>Moonmilk Fungus</x:v>
      </x:c>
      <x:c r="E10" s="51" t="str"/>
      <x:c r="F10" s="51" t="str">
        <x:v>Craft DC -2; Effect +75%</x:v>
      </x:c>
      <x:c r="G10" s="39" t="str">
        <x:v>A pale blue-white fungus with milky beads forming along the gills. It smells cool and sweet, like rainwater in a stone bowl.</x:v>
      </x:c>
    </x:row>
    <x:row r="11">
      <x:c r="A11" s="38" t="str">
        <x:v>Core</x:v>
      </x:c>
      <x:c r="B11" s="51" t="str">
        <x:v>Mushroom</x:v>
      </x:c>
      <x:c r="C11" s="51" t="str">
        <x:v>Uncommon</x:v>
      </x:c>
      <x:c r="D11" s="51" t="str">
        <x:v>Silverbell Fungus</x:v>
      </x:c>
      <x:c r="E11" s="51" t="str"/>
      <x:c r="F11" s="51" t="str">
        <x:v>Craft DC -2; Effect +25%; Save DC +1</x:v>
      </x:c>
      <x:c r="G11" s="39" t="str">
        <x:v>A cluster of silver bell-shaped caps with glassy edges. They chime softly when shaken and smell of cold rain, mushrooms, and crushed mint.</x:v>
      </x:c>
    </x:row>
    <x:row r="12">
      <x:c r="A12" s="38" t="str">
        <x:v>Core</x:v>
      </x:c>
      <x:c r="B12" s="51" t="str">
        <x:v>Mushroom</x:v>
      </x:c>
      <x:c r="C12" s="51" t="str">
        <x:v>Rare</x:v>
      </x:c>
      <x:c r="D12" s="51" t="str">
        <x:v>Cloudcap Spore</x:v>
      </x:c>
      <x:c r="E12" s="51" t="str"/>
      <x:c r="F12" s="51" t="str">
        <x:v>Craft DC -4; Effect +75%; Duration +25%</x:v>
      </x:c>
      <x:c r="G12" s="39" t="str">
        <x:v>A broad pale mushroom dusted with silver spores that drift upward instead of falling. It feels light as cork and smells of cool fog, bitter tea, and pine bark.</x:v>
      </x:c>
    </x:row>
    <x:row r="13">
      <x:c r="A13" s="38" t="str">
        <x:v>Core</x:v>
      </x:c>
      <x:c r="B13" s="51" t="str">
        <x:v>Mushroom</x:v>
      </x:c>
      <x:c r="C13" s="51" t="str">
        <x:v>Rare</x:v>
      </x:c>
      <x:c r="D13" s="51" t="str">
        <x:v>Dreamspore Morel</x:v>
      </x:c>
      <x:c r="E13" s="51" t="str">
        <x:v>Confusion, Psychic, Mind</x:v>
      </x:c>
      <x:c r="F13" s="51" t="str">
        <x:v>Craft DC -4; Die step +1</x:v>
      </x:c>
      <x:c r="G13" s="39" t="str">
        <x:v>A tall indigo morel whose honeycomb pits hold drifting violet spores. It feels dry as paper and smells of lavender smoke, dark soil, and old books.</x:v>
      </x:c>
    </x:row>
    <x:row r="14">
      <x:c r="A14" s="38" t="str">
        <x:v>Core</x:v>
      </x:c>
      <x:c r="B14" s="51" t="str">
        <x:v>Mushroom</x:v>
      </x:c>
      <x:c r="C14" s="51" t="str">
        <x:v>Rare</x:v>
      </x:c>
      <x:c r="D14" s="51" t="str">
        <x:v>King's Redcap</x:v>
      </x:c>
      <x:c r="E14" s="51" t="str"/>
      <x:c r="F14" s="51" t="str">
        <x:v>Craft DC -4; Effect +100%</x:v>
      </x:c>
      <x:c r="G14" s="39" t="str">
        <x:v>A crimson-capped fungus with black speckles and thick ivory flesh. When sliced, it stains the blade red and smells of bitter loam and iron-rich rain.</x:v>
      </x:c>
    </x:row>
    <x:row r="15">
      <x:c r="A15" s="38" t="str">
        <x:v>Core</x:v>
      </x:c>
      <x:c r="B15" s="51" t="str">
        <x:v>Mushroom</x:v>
      </x:c>
      <x:c r="C15" s="51" t="str">
        <x:v>Rare</x:v>
      </x:c>
      <x:c r="D15" s="51" t="str">
        <x:v>Twin-Bloom Mycelium</x:v>
      </x:c>
      <x:c r="E15" s="51" t="str"/>
      <x:c r="F15" s="51" t="str">
        <x:v>Craft DC -4; Effect +50%; +1 Extra Dose</x:v>
      </x:c>
      <x:c r="G15" s="39" t="str">
        <x:v>Two small caps grow from the same silver-white thread mass. The paired blooms smell earthy and sweet, and their spores cling like flour.</x:v>
      </x:c>
    </x:row>
    <x:row r="16">
      <x:c r="A16" s="38" t="str">
        <x:v>Core</x:v>
      </x:c>
      <x:c r="B16" s="51" t="str">
        <x:v>Mushroom</x:v>
      </x:c>
      <x:c r="C16" s="51" t="str">
        <x:v>Very Rare</x:v>
      </x:c>
      <x:c r="D16" s="51" t="str">
        <x:v>Crowncap Polypore</x:v>
      </x:c>
      <x:c r="E16" s="51" t="str"/>
      <x:c r="F16" s="51" t="str">
        <x:v>Craft DC -6; Effect +125%</x:v>
      </x:c>
      <x:c r="G16" s="39" t="str">
        <x:v>A shelf-like golden fungus with red lacquered bands. Its underside is dry and powdery, with a warm smell of toasted grain, cedar resin, and rich cellar earth.</x:v>
      </x:c>
    </x:row>
    <x:row r="17">
      <x:c r="A17" s="38" t="str">
        <x:v>Core</x:v>
      </x:c>
      <x:c r="B17" s="51" t="str">
        <x:v>Mushroom</x:v>
      </x:c>
      <x:c r="C17" s="51" t="str">
        <x:v>Very Rare</x:v>
      </x:c>
      <x:c r="D17" s="51" t="str">
        <x:v>Oracle's Crown</x:v>
      </x:c>
      <x:c r="E17" s="51" t="str"/>
      <x:c r="F17" s="51" t="str">
        <x:v>Craft DC -6; Effect +75%; +2 Extra Doses</x:v>
      </x:c>
      <x:c r="G17" s="39" t="str">
        <x:v>A crown of translucent blue caps joined by luminous white mycelium. The gills pulse when touched, tasting faintly of salt and honey while smelling of ozone before rain.</x:v>
      </x:c>
    </x:row>
    <x:row r="18">
      <x:c r="A18" s="38" t="str">
        <x:v>Core</x:v>
      </x:c>
      <x:c r="B18" s="51" t="str">
        <x:v>Mushroom</x:v>
      </x:c>
      <x:c r="C18" s="51" t="str">
        <x:v>Very Rare</x:v>
      </x:c>
      <x:c r="D18" s="51" t="str">
        <x:v>Phoenix Truffle</x:v>
      </x:c>
      <x:c r="E18" s="51" t="str"/>
      <x:c r="F18" s="51" t="str">
        <x:v>Craft DC -6; Effect +75%; Duration +50%</x:v>
      </x:c>
      <x:c r="G18" s="39" t="str">
        <x:v>A coal-black truffle veined with ember orange. It is warm to the touch and smells of scorched cedar, rich soil, and hot spice.</x:v>
      </x:c>
    </x:row>
    <x:row r="19">
      <x:c r="A19" s="38" t="str">
        <x:v>Core</x:v>
      </x:c>
      <x:c r="B19" s="51" t="str">
        <x:v>Mushroom</x:v>
      </x:c>
      <x:c r="C19" s="51" t="str">
        <x:v>Very Rare</x:v>
      </x:c>
      <x:c r="D19" s="51" t="str">
        <x:v>Saint's Veil Cap</x:v>
      </x:c>
      <x:c r="E19" s="51" t="str"/>
      <x:c r="F19" s="51" t="str">
        <x:v>Craft DC -6; Effect +25%; Die step +1</x:v>
      </x:c>
      <x:c r="G19" s="39" t="str">
        <x:v>A thin white cap draped like lace over luminous gills. It gives off a clean, chapel-wax scent and leaves a soft gold dust on the fingers.</x:v>
      </x:c>
    </x:row>
    <x:row r="20">
      <x:c r="A20" s="38" t="str">
        <x:v>Core</x:v>
      </x:c>
      <x:c r="B20" s="51" t="str">
        <x:v>Root</x:v>
      </x:c>
      <x:c r="C20" s="51" t="str">
        <x:v>Common</x:v>
      </x:c>
      <x:c r="D20" s="51" t="str">
        <x:v>Bittercoil Root</x:v>
      </x:c>
      <x:c r="E20" s="51" t="str"/>
      <x:c r="F20" s="51" t="str">
        <x:v>No Craft DC reduction; Duration +25%</x:v>
      </x:c>
      <x:c r="G20" s="39" t="str">
        <x:v>A tightly spiraled black-brown root with a waxy skin. Its cut surface is yellow and intensely bitter, smelling of coffee grounds, bark, and sharp medicinal oil.</x:v>
      </x:c>
    </x:row>
    <x:row r="21">
      <x:c r="A21" s="38" t="str">
        <x:v>Core</x:v>
      </x:c>
      <x:c r="B21" s="51" t="str">
        <x:v>Root</x:v>
      </x:c>
      <x:c r="C21" s="51" t="str">
        <x:v>Common</x:v>
      </x:c>
      <x:c r="D21" s="51" t="str">
        <x:v>Clayfinger Root</x:v>
      </x:c>
      <x:c r="E21" s="51" t="str"/>
      <x:c r="F21" s="51" t="str">
        <x:v>No Craft DC reduction; Effect +25%</x:v>
      </x:c>
      <x:c r="G21" s="39" t="str">
        <x:v>A bundle of finger-thin tan roots packed with red clay. They snap crisply, stain the hands orange, and smell of pottery earth and raw turnip.</x:v>
      </x:c>
    </x:row>
    <x:row r="22">
      <x:c r="A22" s="38" t="str">
        <x:v>Core</x:v>
      </x:c>
      <x:c r="B22" s="51" t="str">
        <x:v>Root</x:v>
      </x:c>
      <x:c r="C22" s="51" t="str">
        <x:v>Common</x:v>
      </x:c>
      <x:c r="D22" s="51" t="str">
        <x:v>Fieldroot</x:v>
      </x:c>
      <x:c r="E22" s="51" t="str"/>
      <x:c r="F22" s="51" t="str">
        <x:v>No Craft DC reduction; Duration +25%</x:v>
      </x:c>
      <x:c r="G22" s="39" t="str">
        <x:v>A plain tan root with hairlike fibers and a crisp snap. It smells of fresh-dug earth and leaves a bitter, grassy taste.</x:v>
      </x:c>
    </x:row>
    <x:row r="23">
      <x:c r="A23" s="38" t="str">
        <x:v>Core</x:v>
      </x:c>
      <x:c r="B23" s="51" t="str">
        <x:v>Root</x:v>
      </x:c>
      <x:c r="C23" s="51" t="str">
        <x:v>Common</x:v>
      </x:c>
      <x:c r="D23" s="51" t="str">
        <x:v>Marshknuckle Root</x:v>
      </x:c>
      <x:c r="E23" s="51" t="str"/>
      <x:c r="F23" s="51" t="str">
        <x:v>No Craft DC reduction; Effect +25%</x:v>
      </x:c>
      <x:c r="G23" s="39" t="str">
        <x:v>A bulbous green-brown root with jointed ridges and spongy flesh. It smells of brackish water, celery, and peat, leaving a cool slickness on the fingers.</x:v>
      </x:c>
    </x:row>
    <x:row r="24">
      <x:c r="A24" s="38" t="str">
        <x:v>Core</x:v>
      </x:c>
      <x:c r="B24" s="51" t="str">
        <x:v>Root</x:v>
      </x:c>
      <x:c r="C24" s="51" t="str">
        <x:v>Common</x:v>
      </x:c>
      <x:c r="D24" s="51" t="str">
        <x:v>Turnstone Root</x:v>
      </x:c>
      <x:c r="E24" s="51" t="str"/>
      <x:c r="F24" s="51" t="str">
        <x:v>No Craft DC reduction; Duration +25%</x:v>
      </x:c>
      <x:c r="G24" s="39" t="str">
        <x:v>A squat gray root knotted around tiny pebbles. It feels heavy for its size, smells of wet clay and turnip greens, and clicks softly when shaken.</x:v>
      </x:c>
    </x:row>
    <x:row r="25">
      <x:c r="A25" s="38" t="str">
        <x:v>Core</x:v>
      </x:c>
      <x:c r="B25" s="51" t="str">
        <x:v>Root</x:v>
      </x:c>
      <x:c r="C25" s="51" t="str">
        <x:v>Uncommon</x:v>
      </x:c>
      <x:c r="D25" s="51" t="str">
        <x:v>Ambervein Root</x:v>
      </x:c>
      <x:c r="E25" s="51" t="str"/>
      <x:c r="F25" s="51" t="str">
        <x:v>Craft DC -2; Effect +50%; Duration +25%</x:v>
      </x:c>
      <x:c r="G25" s="39" t="str">
        <x:v>A honey-colored root threaded with translucent amber sap. It snaps cleanly, smells of warm resin and sweet earth, and leaves the tongue slightly numb.</x:v>
      </x:c>
    </x:row>
    <x:row r="26">
      <x:c r="A26" s="38" t="str">
        <x:v>Core</x:v>
      </x:c>
      <x:c r="B26" s="51" t="str">
        <x:v>Root</x:v>
      </x:c>
      <x:c r="C26" s="51" t="str">
        <x:v>Uncommon</x:v>
      </x:c>
      <x:c r="D26" s="51" t="str">
        <x:v>Frostcoil Root</x:v>
      </x:c>
      <x:c r="E26" s="51" t="str">
        <x:v>Cold</x:v>
      </x:c>
      <x:c r="F26" s="51" t="str">
        <x:v>Craft DC -2; Effect +25%; Duration +50%</x:v>
      </x:c>
      <x:c r="G26" s="39" t="str">
        <x:v>A pale root curled into a tight spiral beneath a skin of crystalline frost. It is painfully cold and smells of wintergreen, iron, and fresh snow.</x:v>
      </x:c>
    </x:row>
    <x:row r="27">
      <x:c r="A27" s="38" t="str">
        <x:v>Core</x:v>
      </x:c>
      <x:c r="B27" s="51" t="str">
        <x:v>Root</x:v>
      </x:c>
      <x:c r="C27" s="51" t="str">
        <x:v>Uncommon</x:v>
      </x:c>
      <x:c r="D27" s="51" t="str">
        <x:v>Ironroot</x:v>
      </x:c>
      <x:c r="E27" s="51" t="str"/>
      <x:c r="F27" s="51" t="str">
        <x:v>Craft DC -2; Duration +75%</x:v>
      </x:c>
      <x:c r="G27" s="39" t="str">
        <x:v>A dense gray-brown root with dark metallic streaks under the bark. It feels heavy for its size and smells of wet clay and iron.</x:v>
      </x:c>
    </x:row>
    <x:row r="28">
      <x:c r="A28" s="38" t="str">
        <x:v>Core</x:v>
      </x:c>
      <x:c r="B28" s="51" t="str">
        <x:v>Root</x:v>
      </x:c>
      <x:c r="C28" s="51" t="str">
        <x:v>Uncommon</x:v>
      </x:c>
      <x:c r="D28" s="51" t="str">
        <x:v>Knotted Tuber</x:v>
      </x:c>
      <x:c r="E28" s="51" t="str"/>
      <x:c r="F28" s="51" t="str">
        <x:v>Craft DC -2; Duration +25%; +1 Extra Dose</x:v>
      </x:c>
      <x:c r="G28" s="39" t="str">
        <x:v>Several smooth cream tubers grow fused around one central knot. They are heavy with clear sap and smell of potato skin, sweet grass, and clean loam.</x:v>
      </x:c>
    </x:row>
    <x:row r="29">
      <x:c r="A29" s="38" t="str">
        <x:v>Core</x:v>
      </x:c>
      <x:c r="B29" s="51" t="str">
        <x:v>Root</x:v>
      </x:c>
      <x:c r="C29" s="51" t="str">
        <x:v>Uncommon</x:v>
      </x:c>
      <x:c r="D29" s="51" t="str">
        <x:v>Red Hearthroot</x:v>
      </x:c>
      <x:c r="E29" s="51" t="str"/>
      <x:c r="F29" s="51" t="str">
        <x:v>Craft DC -2; Effect +25%; Duration +50%</x:v>
      </x:c>
      <x:c r="G29" s="39" t="str">
        <x:v>A red-veined root that warms slightly in the palm. When shaved, it smells of cinnamon bark, damp soil, and smoke from a banked fire.</x:v>
      </x:c>
    </x:row>
    <x:row r="30">
      <x:c r="A30" s="38" t="str">
        <x:v>Core</x:v>
      </x:c>
      <x:c r="B30" s="51" t="str">
        <x:v>Root</x:v>
      </x:c>
      <x:c r="C30" s="51" t="str">
        <x:v>Rare</x:v>
      </x:c>
      <x:c r="D30" s="51" t="str">
        <x:v>Bloodsap Root</x:v>
      </x:c>
      <x:c r="E30" s="51" t="str"/>
      <x:c r="F30" s="51" t="str">
        <x:v>Craft DC -4; Effect +50%; Duration +50%</x:v>
      </x:c>
      <x:c r="G30" s="39" t="str">
        <x:v>A dark red root that beads warm crimson sap when sliced. Its fibers are dense and elastic, and it smells of iron, cedar, and bruised herbs.</x:v>
      </x:c>
    </x:row>
    <x:row r="31">
      <x:c r="A31" s="38" t="str">
        <x:v>Core</x:v>
      </x:c>
      <x:c r="B31" s="51" t="str">
        <x:v>Root</x:v>
      </x:c>
      <x:c r="C31" s="51" t="str">
        <x:v>Rare</x:v>
      </x:c>
      <x:c r="D31" s="51" t="str">
        <x:v>Giantroot</x:v>
      </x:c>
      <x:c r="E31" s="51" t="str"/>
      <x:c r="F31" s="51" t="str">
        <x:v>Craft DC -4; Duration +100%</x:v>
      </x:c>
      <x:c r="G31" s="39" t="str">
        <x:v>A thick corded root with broad growth rings and rough outer bark. It smells old, woody, and mineral, like roots pulled from a cliffside.</x:v>
      </x:c>
    </x:row>
    <x:row r="32">
      <x:c r="A32" s="38" t="str">
        <x:v>Core</x:v>
      </x:c>
      <x:c r="B32" s="51" t="str">
        <x:v>Root</x:v>
      </x:c>
      <x:c r="C32" s="51" t="str">
        <x:v>Rare</x:v>
      </x:c>
      <x:c r="D32" s="51" t="str">
        <x:v>Heartroot Cluster</x:v>
      </x:c>
      <x:c r="E32" s="51" t="str"/>
      <x:c r="F32" s="51" t="str">
        <x:v>Craft DC -4; Duration +50%; +1 Extra Dose</x:v>
      </x:c>
      <x:c r="G32" s="39" t="str">
        <x:v>Several small roots twist around a red central nub. Cut pieces bead with amber sap and smell of loam, herbs, and warm blood.</x:v>
      </x:c>
    </x:row>
    <x:row r="33">
      <x:c r="A33" s="38" t="str">
        <x:v>Core</x:v>
      </x:c>
      <x:c r="B33" s="51" t="str">
        <x:v>Root</x:v>
      </x:c>
      <x:c r="C33" s="51" t="str">
        <x:v>Rare</x:v>
      </x:c>
      <x:c r="D33" s="51" t="str">
        <x:v>Oathroot</x:v>
      </x:c>
      <x:c r="E33" s="51" t="str">
        <x:v>Paralysis, Nerve, Binding</x:v>
      </x:c>
      <x:c r="F33" s="51" t="str">
        <x:v>Craft DC -4; Die step +1</x:v>
      </x:c>
      <x:c r="G33" s="39" t="str">
        <x:v>A straight black root marked by natural silver rings. It is hard as horn, smells of incense and storm-soaked soil, and tastes sharply mineral.</x:v>
      </x:c>
    </x:row>
    <x:row r="34">
      <x:c r="A34" s="38" t="str">
        <x:v>Core</x:v>
      </x:c>
      <x:c r="B34" s="51" t="str">
        <x:v>Root</x:v>
      </x:c>
      <x:c r="C34" s="51" t="str">
        <x:v>Very Rare</x:v>
      </x:c>
      <x:c r="D34" s="51" t="str">
        <x:v>Dragonheart Root</x:v>
      </x:c>
      <x:c r="E34" s="51" t="str"/>
      <x:c r="F34" s="51" t="str">
        <x:v>Craft DC -6; Duration +75%; +2 Extra Doses</x:v>
      </x:c>
      <x:c r="G34" s="39" t="str">
        <x:v>A thick crimson root with overlapping scales and a warm pulse under its bark. It smells of cinnamon, hot stone, and animal musk, and steams when cut.</x:v>
      </x:c>
    </x:row>
    <x:row r="35">
      <x:c r="A35" s="38" t="str">
        <x:v>Core</x:v>
      </x:c>
      <x:c r="B35" s="51" t="str">
        <x:v>Root</x:v>
      </x:c>
      <x:c r="C35" s="51" t="str">
        <x:v>Very Rare</x:v>
      </x:c>
      <x:c r="D35" s="51" t="str">
        <x:v>Sagevein Root</x:v>
      </x:c>
      <x:c r="E35" s="51" t="str"/>
      <x:c r="F35" s="51" t="str">
        <x:v>Craft DC -6; Effect +50%; Duration +75%</x:v>
      </x:c>
      <x:c r="G35" s="39" t="str">
        <x:v>A pale blue root braided with silver threads. It feels cool and heavy in the hand, smells of rain on old stone, and leaves a clean mineral bite on the tongue.</x:v>
      </x:c>
    </x:row>
    <x:row r="36">
      <x:c r="A36" s="38" t="str">
        <x:v>Core</x:v>
      </x:c>
      <x:c r="B36" s="51" t="str">
        <x:v>Root</x:v>
      </x:c>
      <x:c r="C36" s="51" t="str">
        <x:v>Very Rare</x:v>
      </x:c>
      <x:c r="D36" s="51" t="str">
        <x:v>Titan Root</x:v>
      </x:c>
      <x:c r="E36" s="51" t="str"/>
      <x:c r="F36" s="51" t="str">
        <x:v>Craft DC -6; Duration +25%; Die step +1</x:v>
      </x:c>
      <x:c r="G36" s="39" t="str">
        <x:v>A massive splinter of root with stone-hard grain and a peppery bite. It smells of crushed bark, mountain soil, and animal musk.</x:v>
      </x:c>
    </x:row>
    <x:row r="37">
      <x:c r="A37" s="38" t="str">
        <x:v>Core</x:v>
      </x:c>
      <x:c r="B37" s="51" t="str">
        <x:v>Root</x:v>
      </x:c>
      <x:c r="C37" s="51" t="str">
        <x:v>Very Rare</x:v>
      </x:c>
      <x:c r="D37" s="51" t="str">
        <x:v>Worldroot Knot</x:v>
      </x:c>
      <x:c r="E37" s="51" t="str"/>
      <x:c r="F37" s="51" t="str">
        <x:v>Craft DC -6; Duration +125%</x:v>
      </x:c>
      <x:c r="G37" s="39" t="str">
        <x:v>A dark knot of root threaded with pale gold lines. It seems to pulse faintly in water and smells of ancient forests after rain.</x:v>
      </x:c>
    </x:row>
    <x:row r="38">
      <x:c r="A38" s="38" t="str">
        <x:v>Core</x:v>
      </x:c>
      <x:c r="B38" s="51" t="str">
        <x:v>Sap / Resin</x:v>
      </x:c>
      <x:c r="C38" s="51" t="str">
        <x:v>Common</x:v>
      </x:c>
      <x:c r="D38" s="51" t="str">
        <x:v>Birch Tear</x:v>
      </x:c>
      <x:c r="E38" s="51" t="str"/>
      <x:c r="F38" s="51" t="str">
        <x:v>No Craft DC reduction; Effect +25%</x:v>
      </x:c>
      <x:c r="G38" s="39" t="str">
        <x:v>A cloudy bead of pale birch resin that softens in body heat. It smells sweet and green, with hints of winter bark and clean smoke.</x:v>
      </x:c>
    </x:row>
    <x:row r="39">
      <x:c r="A39" s="38" t="str">
        <x:v>Core</x:v>
      </x:c>
      <x:c r="B39" s="51" t="str">
        <x:v>Sap / Resin</x:v>
      </x:c>
      <x:c r="C39" s="51" t="str">
        <x:v>Common</x:v>
      </x:c>
      <x:c r="D39" s="51" t="str">
        <x:v>Firblood Pitch</x:v>
      </x:c>
      <x:c r="E39" s="51" t="str"/>
      <x:c r="F39" s="51" t="str">
        <x:v>No Craft DC reduction; Effect +25%</x:v>
      </x:c>
      <x:c r="G39" s="39" t="str">
        <x:v>A dark red pitch that beads slowly from fir bark. It is sticky and warm, smelling of pine smoke, bitter citrus, and fresh-cut timber.</x:v>
      </x:c>
    </x:row>
    <x:row r="40">
      <x:c r="A40" s="38" t="str">
        <x:v>Core</x:v>
      </x:c>
      <x:c r="B40" s="51" t="str">
        <x:v>Sap / Resin</x:v>
      </x:c>
      <x:c r="C40" s="51" t="str">
        <x:v>Common</x:v>
      </x:c>
      <x:c r="D40" s="51" t="str">
        <x:v>Pine Pitch</x:v>
      </x:c>
      <x:c r="E40" s="51" t="str"/>
      <x:c r="F40" s="51" t="str">
        <x:v>No Craft DC reduction; Duration +25%</x:v>
      </x:c>
      <x:c r="G40" s="39" t="str">
        <x:v>Sticky golden pitch that strings between fingers. It smells sharply of pine needles, clean resin, and smoke-warmed bark.</x:v>
      </x:c>
    </x:row>
    <x:row r="41">
      <x:c r="A41" s="38" t="str">
        <x:v>Core</x:v>
      </x:c>
      <x:c r="B41" s="51" t="str">
        <x:v>Sap / Resin</x:v>
      </x:c>
      <x:c r="C41" s="51" t="str">
        <x:v>Common</x:v>
      </x:c>
      <x:c r="D41" s="51" t="str">
        <x:v>Reedgum</x:v>
      </x:c>
      <x:c r="E41" s="51" t="str"/>
      <x:c r="F41" s="51" t="str">
        <x:v>No Craft DC reduction; Duration +25%</x:v>
      </x:c>
      <x:c r="G41" s="39" t="str">
        <x:v>Amber-green gum scraped from marsh reeds in flexible ribbons. It is tacky, faintly salty, and smells of cut grass, pond water, and warm sugar.</x:v>
      </x:c>
    </x:row>
    <x:row r="42">
      <x:c r="A42" s="38" t="str">
        <x:v>Core</x:v>
      </x:c>
      <x:c r="B42" s="51" t="str">
        <x:v>Sap / Resin</x:v>
      </x:c>
      <x:c r="C42" s="51" t="str">
        <x:v>Common</x:v>
      </x:c>
      <x:c r="D42" s="51" t="str">
        <x:v>Willow Gum</x:v>
      </x:c>
      <x:c r="E42" s="51" t="str"/>
      <x:c r="F42" s="51" t="str">
        <x:v>No Craft DC reduction; Duration +25%</x:v>
      </x:c>
      <x:c r="G42" s="39" t="str">
        <x:v>A clear-green gum that stretches into fine threads between the fingers. It smells of cut willow, cucumber, and river water, with a mildly sweet taste.</x:v>
      </x:c>
    </x:row>
    <x:row r="43">
      <x:c r="A43" s="38" t="str">
        <x:v>Core</x:v>
      </x:c>
      <x:c r="B43" s="51" t="str">
        <x:v>Sap / Resin</x:v>
      </x:c>
      <x:c r="C43" s="51" t="str">
        <x:v>Uncommon</x:v>
      </x:c>
      <x:c r="D43" s="51" t="str">
        <x:v>Amber Sap</x:v>
      </x:c>
      <x:c r="E43" s="51" t="str"/>
      <x:c r="F43" s="51" t="str">
        <x:v>Craft DC -2; Duration +75%</x:v>
      </x:c>
      <x:c r="G43" s="39" t="str">
        <x:v>A honey-colored sap sealed in soft wax. It smells sweet, green, and medicinal, and it clings to glass in slow bright streaks.</x:v>
      </x:c>
    </x:row>
    <x:row r="44">
      <x:c r="A44" s="38" t="str">
        <x:v>Core</x:v>
      </x:c>
      <x:c r="B44" s="51" t="str">
        <x:v>Sap / Resin</x:v>
      </x:c>
      <x:c r="C44" s="51" t="str">
        <x:v>Uncommon</x:v>
      </x:c>
      <x:c r="D44" s="51" t="str">
        <x:v>Glassgum Resin</x:v>
      </x:c>
      <x:c r="E44" s="51" t="str"/>
      <x:c r="F44" s="51" t="str">
        <x:v>Craft DC -2; Effect +50%; Duration +25%</x:v>
      </x:c>
      <x:c r="G44" s="39" t="str">
        <x:v>A clear resin bead that cracks like sugar glass. When warmed, it smells of minty sap and leaves a shining film on the spoon.</x:v>
      </x:c>
    </x:row>
    <x:row r="45">
      <x:c r="A45" s="38" t="str">
        <x:v>Core</x:v>
      </x:c>
      <x:c r="B45" s="51" t="str">
        <x:v>Sap / Resin</x:v>
      </x:c>
      <x:c r="C45" s="51" t="str">
        <x:v>Uncommon</x:v>
      </x:c>
      <x:c r="D45" s="51" t="str">
        <x:v>Honey Resin</x:v>
      </x:c>
      <x:c r="E45" s="51" t="str"/>
      <x:c r="F45" s="51" t="str">
        <x:v>Craft DC -2; Duration +25%; +1 Extra Dose</x:v>
      </x:c>
      <x:c r="G45" s="39" t="str">
        <x:v>A soft gold resin filled with tiny air bubbles. It stretches into threads, tastes faintly floral, and smells of beeswax, clover, and sun-warmed wood.</x:v>
      </x:c>
    </x:row>
    <x:row r="46">
      <x:c r="A46" s="38" t="str">
        <x:v>Core</x:v>
      </x:c>
      <x:c r="B46" s="51" t="str">
        <x:v>Sap / Resin</x:v>
      </x:c>
      <x:c r="C46" s="51" t="str">
        <x:v>Uncommon</x:v>
      </x:c>
      <x:c r="D46" s="51" t="str">
        <x:v>Moonpine Resin</x:v>
      </x:c>
      <x:c r="E46" s="51" t="str"/>
      <x:c r="F46" s="51" t="str">
        <x:v>Craft DC -2; Effect +25%; Duration +50%</x:v>
      </x:c>
      <x:c r="G46" s="39" t="str">
        <x:v>A pearl-blue resin that glows softly in darkness. It is smooth as glass when cool, smells of pine needles and moonlit frost, and melts at body heat.</x:v>
      </x:c>
    </x:row>
    <x:row r="47">
      <x:c r="A47" s="38" t="str">
        <x:v>Core</x:v>
      </x:c>
      <x:c r="B47" s="51" t="str">
        <x:v>Sap / Resin</x:v>
      </x:c>
      <x:c r="C47" s="51" t="str">
        <x:v>Uncommon</x:v>
      </x:c>
      <x:c r="D47" s="51" t="str">
        <x:v>Sweetbark Amber</x:v>
      </x:c>
      <x:c r="E47" s="51" t="str"/>
      <x:c r="F47" s="51" t="str">
        <x:v>Craft DC -2; Effect +25%; Duration +50%</x:v>
      </x:c>
      <x:c r="G47" s="39" t="str">
        <x:v>Golden amber tears with tiny bubbles trapped inside. They crack like hard candy, smell of vanilla bark and honey, and leave a lingering warm sweetness.</x:v>
      </x:c>
    </x:row>
    <x:row r="48">
      <x:c r="A48" s="38" t="str">
        <x:v>Core</x:v>
      </x:c>
      <x:c r="B48" s="51" t="str">
        <x:v>Sap / Resin</x:v>
      </x:c>
      <x:c r="C48" s="51" t="str">
        <x:v>Rare</x:v>
      </x:c>
      <x:c r="D48" s="51" t="str">
        <x:v>Aetherglass Sap</x:v>
      </x:c>
      <x:c r="E48" s="51" t="str"/>
      <x:c r="F48" s="51" t="str">
        <x:v>Craft DC -4; Effect +25%; Duration +75%</x:v>
      </x:c>
      <x:c r="G48" s="39" t="str">
        <x:v>Nearly transparent sap with tiny star-like bubbles suspended inside. It feels cool, slick, and smells faintly of ozone and green wood.</x:v>
      </x:c>
    </x:row>
    <x:row r="49">
      <x:c r="A49" s="38" t="str">
        <x:v>Core</x:v>
      </x:c>
      <x:c r="B49" s="51" t="str">
        <x:v>Sap / Resin</x:v>
      </x:c>
      <x:c r="C49" s="51" t="str">
        <x:v>Rare</x:v>
      </x:c>
      <x:c r="D49" s="51" t="str">
        <x:v>Ghostglass Sap</x:v>
      </x:c>
      <x:c r="E49" s="51" t="str"/>
      <x:c r="F49" s="51" t="str">
        <x:v>Craft DC -4; Effect +50%; Duration +50%</x:v>
      </x:c>
      <x:c r="G49" s="39" t="str">
        <x:v>A colorless sap visible only where it bends the light. It feels dry despite being fluid and smells of cold stone, clean linen, and distant rain.</x:v>
      </x:c>
    </x:row>
    <x:row r="50">
      <x:c r="A50" s="38" t="str">
        <x:v>Core</x:v>
      </x:c>
      <x:c r="B50" s="51" t="str">
        <x:v>Sap / Resin</x:v>
      </x:c>
      <x:c r="C50" s="51" t="str">
        <x:v>Rare</x:v>
      </x:c>
      <x:c r="D50" s="51" t="str">
        <x:v>Mirrorgum</x:v>
      </x:c>
      <x:c r="E50" s="51" t="str">
        <x:v>Restraint, Binding</x:v>
      </x:c>
      <x:c r="F50" s="51" t="str">
        <x:v>Craft DC -4; Duration +50%; +1 Extra Dose</x:v>
      </x:c>
      <x:c r="G50" s="39" t="str">
        <x:v>A clear resin that hardens to a glassy shine but bends without cracking. It smells of citrus peel, polished wood, and a trace of ozone.</x:v>
      </x:c>
    </x:row>
    <x:row r="51">
      <x:c r="A51" s="38" t="str">
        <x:v>Core</x:v>
      </x:c>
      <x:c r="B51" s="51" t="str">
        <x:v>Sap / Resin</x:v>
      </x:c>
      <x:c r="C51" s="51" t="str">
        <x:v>Rare</x:v>
      </x:c>
      <x:c r="D51" s="51" t="str">
        <x:v>Sunamber Resin</x:v>
      </x:c>
      <x:c r="E51" s="51" t="str"/>
      <x:c r="F51" s="51" t="str">
        <x:v>Craft DC -4; Duration +100%</x:v>
      </x:c>
      <x:c r="G51" s="39" t="str">
        <x:v>A deep orange resin that glows under flame-light. It smells of hot pine, dried citrus peel, and old wooden temples.</x:v>
      </x:c>
    </x:row>
    <x:row r="52">
      <x:c r="A52" s="38" t="str">
        <x:v>Core</x:v>
      </x:c>
      <x:c r="B52" s="51" t="str">
        <x:v>Sap / Resin</x:v>
      </x:c>
      <x:c r="C52" s="51" t="str">
        <x:v>Very Rare</x:v>
      </x:c>
      <x:c r="D52" s="51" t="str">
        <x:v>Elder Amber Resin</x:v>
      </x:c>
      <x:c r="E52" s="51" t="str"/>
      <x:c r="F52" s="51" t="str">
        <x:v>Craft DC -6; Duration +125%</x:v>
      </x:c>
      <x:c r="G52" s="39" t="str">
        <x:v>A dark honey resin with ancient bark flakes trapped inside. Its smell is deep, sweet, and smoky, like incense burned in a cedar hall.</x:v>
      </x:c>
    </x:row>
    <x:row r="53">
      <x:c r="A53" s="38" t="str">
        <x:v>Core</x:v>
      </x:c>
      <x:c r="B53" s="51" t="str">
        <x:v>Sap / Resin</x:v>
      </x:c>
      <x:c r="C53" s="51" t="str">
        <x:v>Very Rare</x:v>
      </x:c>
      <x:c r="D53" s="51" t="str">
        <x:v>Kingsap Amber</x:v>
      </x:c>
      <x:c r="E53" s="51" t="str"/>
      <x:c r="F53" s="51" t="str">
        <x:v>Craft DC -6; Effect +75%; +2 Extra Doses</x:v>
      </x:c>
      <x:c r="G53" s="39" t="str">
        <x:v>Deep red-gold amber with slow-moving flecks suspended inside. It warms when held and smells of old cedar chests, incense, and ripe fruit.</x:v>
      </x:c>
    </x:row>
    <x:row r="54">
      <x:c r="A54" s="38" t="str">
        <x:v>Core</x:v>
      </x:c>
      <x:c r="B54" s="51" t="str">
        <x:v>Sap / Resin</x:v>
      </x:c>
      <x:c r="C54" s="51" t="str">
        <x:v>Very Rare</x:v>
      </x:c>
      <x:c r="D54" s="51" t="str">
        <x:v>Myrrh of the First Grove</x:v>
      </x:c>
      <x:c r="E54" s="51" t="str"/>
      <x:c r="F54" s="51" t="str">
        <x:v>Craft DC -6; Effect +75%; Duration +50%</x:v>
      </x:c>
      <x:c r="G54" s="39" t="str">
        <x:v>A sacred brown resin with silver flecks and a slow fragrant smoke when warmed. It smells of myrrh, rain, and living wood.</x:v>
      </x:c>
    </x:row>
    <x:row r="55">
      <x:c r="A55" s="38" t="str">
        <x:v>Core</x:v>
      </x:c>
      <x:c r="B55" s="51" t="str">
        <x:v>Sap / Resin</x:v>
      </x:c>
      <x:c r="C55" s="51" t="str">
        <x:v>Very Rare</x:v>
      </x:c>
      <x:c r="D55" s="51" t="str">
        <x:v>Timebound Myrrh</x:v>
      </x:c>
      <x:c r="E55" s="51" t="str"/>
      <x:c r="F55" s="51" t="str">
        <x:v>Craft DC -6; Duration +25%; Die step +1</x:v>
      </x:c>
      <x:c r="G55" s="39" t="str">
        <x:v>Black-violet resin that drips upward when uncorked. It smells of ancient cedar, bitter wine, and temple smoke, and leaves a slow heartbeat sensation in the palm.</x:v>
      </x:c>
    </x:row>
    <x:row r="56">
      <x:c r="A56" s="38" t="str">
        <x:v>Core</x:v>
      </x:c>
      <x:c r="B56" s="51" t="str">
        <x:v>Moss / Lichen</x:v>
      </x:c>
      <x:c r="C56" s="51" t="str">
        <x:v>Common</x:v>
      </x:c>
      <x:c r="D56" s="51" t="str">
        <x:v>Ashwall Lichen</x:v>
      </x:c>
      <x:c r="E56" s="51" t="str"/>
      <x:c r="F56" s="51" t="str">
        <x:v>No Craft DC reduction; Area / Range +25%</x:v>
      </x:c>
      <x:c r="G56" s="39" t="str">
        <x:v>Flat gray lichen with white scalloped edges, usually peeled from old hearthstones. It is papery and dry, smelling of ash, chalk, and faint smoke.</x:v>
      </x:c>
    </x:row>
    <x:row r="57">
      <x:c r="A57" s="38" t="str">
        <x:v>Core</x:v>
      </x:c>
      <x:c r="B57" s="51" t="str">
        <x:v>Moss / Lichen</x:v>
      </x:c>
      <x:c r="C57" s="51" t="str">
        <x:v>Common</x:v>
      </x:c>
      <x:c r="D57" s="51" t="str">
        <x:v>Brookmoss</x:v>
      </x:c>
      <x:c r="E57" s="51" t="str"/>
      <x:c r="F57" s="51" t="str">
        <x:v>No Craft DC reduction; Effect +25%</x:v>
      </x:c>
      <x:c r="G57" s="39" t="str">
        <x:v>Fine emerald moss that stays slick with cold water. It feels like wet velvet and smells of river stones, fern shade, and clean mud.</x:v>
      </x:c>
    </x:row>
    <x:row r="58">
      <x:c r="A58" s="38" t="str">
        <x:v>Core</x:v>
      </x:c>
      <x:c r="B58" s="51" t="str">
        <x:v>Moss / Lichen</x:v>
      </x:c>
      <x:c r="C58" s="51" t="str">
        <x:v>Common</x:v>
      </x:c>
      <x:c r="D58" s="51" t="str">
        <x:v>Cavern Moss</x:v>
      </x:c>
      <x:c r="E58" s="51" t="str"/>
      <x:c r="F58" s="51" t="str">
        <x:v>No Craft DC reduction; Duration +25%</x:v>
      </x:c>
      <x:c r="G58" s="39" t="str">
        <x:v>A cool green mat with grit caught in its underside. It smells of cave water, wet stone, and shaded bark.</x:v>
      </x:c>
    </x:row>
    <x:row r="59">
      <x:c r="A59" s="38" t="str">
        <x:v>Core</x:v>
      </x:c>
      <x:c r="B59" s="51" t="str">
        <x:v>Moss / Lichen</x:v>
      </x:c>
      <x:c r="C59" s="51" t="str">
        <x:v>Common</x:v>
      </x:c>
      <x:c r="D59" s="51" t="str">
        <x:v>Lantern Moss</x:v>
      </x:c>
      <x:c r="E59" s="51" t="str"/>
      <x:c r="F59" s="51" t="str">
        <x:v>No Craft DC reduction; Duration +25%</x:v>
      </x:c>
      <x:c r="G59" s="39" t="str">
        <x:v>Soft yellow-green moss tipped with pinpricks of pale light. It feels like warm velvet and smells of rainwater, melon rind, and cave stone.</x:v>
      </x:c>
    </x:row>
    <x:row r="60">
      <x:c r="A60" s="38" t="str">
        <x:v>Core</x:v>
      </x:c>
      <x:c r="B60" s="51" t="str">
        <x:v>Moss / Lichen</x:v>
      </x:c>
      <x:c r="C60" s="51" t="str">
        <x:v>Common</x:v>
      </x:c>
      <x:c r="D60" s="51" t="str">
        <x:v>Roofscale Lichen</x:v>
      </x:c>
      <x:c r="E60" s="51" t="str"/>
      <x:c r="F60" s="51" t="str">
        <x:v>No Craft DC reduction; Effect +25%</x:v>
      </x:c>
      <x:c r="G60" s="39" t="str">
        <x:v>Flat gray scales that cling to old shingles and ruin walls. They peel like thin leather and smell of dust, lime, and sun-warmed slate.</x:v>
      </x:c>
    </x:row>
    <x:row r="61">
      <x:c r="A61" s="38" t="str">
        <x:v>Core</x:v>
      </x:c>
      <x:c r="B61" s="51" t="str">
        <x:v>Moss / Lichen</x:v>
      </x:c>
      <x:c r="C61" s="51" t="str">
        <x:v>Uncommon</x:v>
      </x:c>
      <x:c r="D61" s="51" t="str">
        <x:v>Bedmoss</x:v>
      </x:c>
      <x:c r="E61" s="51" t="str"/>
      <x:c r="F61" s="51" t="str">
        <x:v>Craft DC -2; Duration +25%; +1 Extra Dose</x:v>
      </x:c>
      <x:c r="G61" s="39" t="str">
        <x:v>A thick cushion of springy blue-green moss that slowly regains its shape when pressed. It smells of cool caves, linen, and fresh mushrooms.</x:v>
      </x:c>
    </x:row>
    <x:row r="62">
      <x:c r="A62" s="38" t="str">
        <x:v>Core</x:v>
      </x:c>
      <x:c r="B62" s="51" t="str">
        <x:v>Moss / Lichen</x:v>
      </x:c>
      <x:c r="C62" s="51" t="str">
        <x:v>Uncommon</x:v>
      </x:c>
      <x:c r="D62" s="51" t="str">
        <x:v>Cliffgrip Lichen</x:v>
      </x:c>
      <x:c r="E62" s="51" t="str"/>
      <x:c r="F62" s="51" t="str">
        <x:v>Craft DC -2; Effect +25%; Duration +50%</x:v>
      </x:c>
      <x:c r="G62" s="39" t="str">
        <x:v>A leathery orange lichen that clings hard to stone chips. It smells dry, sharp, and mineral, with a chalky taste.</x:v>
      </x:c>
    </x:row>
    <x:row r="63">
      <x:c r="A63" s="38" t="str">
        <x:v>Core</x:v>
      </x:c>
      <x:c r="B63" s="51" t="str">
        <x:v>Moss / Lichen</x:v>
      </x:c>
      <x:c r="C63" s="51" t="str">
        <x:v>Uncommon</x:v>
      </x:c>
      <x:c r="D63" s="51" t="str">
        <x:v>Frostlace Lichen</x:v>
      </x:c>
      <x:c r="E63" s="51" t="str">
        <x:v>Cold</x:v>
      </x:c>
      <x:c r="F63" s="51" t="str">
        <x:v>Craft DC -2; Effect +50%; Duration +25%</x:v>
      </x:c>
      <x:c r="G63" s="39" t="str">
        <x:v>Fine white branching lichen patterned like frozen lace. It crackles under a thumb and smells of mint, chalk, and snowmelt.</x:v>
      </x:c>
    </x:row>
    <x:row r="64">
      <x:c r="A64" s="38" t="str">
        <x:v>Core</x:v>
      </x:c>
      <x:c r="B64" s="51" t="str">
        <x:v>Moss / Lichen</x:v>
      </x:c>
      <x:c r="C64" s="51" t="str">
        <x:v>Uncommon</x:v>
      </x:c>
      <x:c r="D64" s="51" t="str">
        <x:v>Redveil Moss</x:v>
      </x:c>
      <x:c r="E64" s="51" t="str"/>
      <x:c r="F64" s="51" t="str">
        <x:v>Craft DC -2; Duration +25%; Area / Range +50%</x:v>
      </x:c>
      <x:c r="G64" s="39" t="str">
        <x:v>A wine-red moss that hangs in sheer curtains from shaded stone. It feels silky, smells of berries and damp iron, and stains water pink.</x:v>
      </x:c>
    </x:row>
    <x:row r="65">
      <x:c r="A65" s="38" t="str">
        <x:v>Core</x:v>
      </x:c>
      <x:c r="B65" s="51" t="str">
        <x:v>Moss / Lichen</x:v>
      </x:c>
      <x:c r="C65" s="51" t="str">
        <x:v>Uncommon</x:v>
      </x:c>
      <x:c r="D65" s="51" t="str">
        <x:v>Wardmoss</x:v>
      </x:c>
      <x:c r="E65" s="51" t="str"/>
      <x:c r="F65" s="51" t="str">
        <x:v>Craft DC -2; Duration +75%</x:v>
      </x:c>
      <x:c r="G65" s="39" t="str">
        <x:v>Dense blue-green moss that curls inward when touched. Its scent is clean and cold, like a cellar spring running over slate.</x:v>
      </x:c>
    </x:row>
    <x:row r="66">
      <x:c r="A66" s="38" t="str">
        <x:v>Core</x:v>
      </x:c>
      <x:c r="B66" s="51" t="str">
        <x:v>Moss / Lichen</x:v>
      </x:c>
      <x:c r="C66" s="51" t="str">
        <x:v>Rare</x:v>
      </x:c>
      <x:c r="D66" s="51" t="str">
        <x:v>Deepmoss Colony</x:v>
      </x:c>
      <x:c r="E66" s="51" t="str"/>
      <x:c r="F66" s="51" t="str">
        <x:v>Craft DC -4; Duration +100%</x:v>
      </x:c>
      <x:c r="G66" s="39" t="str">
        <x:v>A thick black-green moss with pale roots and cold dew in its folds. It smells of deep caves and ancient wood rot.</x:v>
      </x:c>
    </x:row>
    <x:row r="67">
      <x:c r="A67" s="38" t="str">
        <x:v>Core</x:v>
      </x:c>
      <x:c r="B67" s="51" t="str">
        <x:v>Moss / Lichen</x:v>
      </x:c>
      <x:c r="C67" s="51" t="str">
        <x:v>Rare</x:v>
      </x:c>
      <x:c r="D67" s="51" t="str">
        <x:v>Diamondvein Lichen</x:v>
      </x:c>
      <x:c r="E67" s="51" t="str"/>
      <x:c r="F67" s="51" t="str">
        <x:v>Craft DC -4; Effect +75%; Duration +25%</x:v>
      </x:c>
      <x:c r="G67" s="39" t="str">
        <x:v>Dark lichen crossed by glittering crystal threads. It feels brittle until soaked and smells like rain striking quartz.</x:v>
      </x:c>
    </x:row>
    <x:row r="68">
      <x:c r="A68" s="38" t="str">
        <x:v>Core</x:v>
      </x:c>
      <x:c r="B68" s="51" t="str">
        <x:v>Moss / Lichen</x:v>
      </x:c>
      <x:c r="C68" s="51" t="str">
        <x:v>Rare</x:v>
      </x:c>
      <x:c r="D68" s="51" t="str">
        <x:v>Sporeveil Moss</x:v>
      </x:c>
      <x:c r="E68" s="51" t="str"/>
      <x:c r="F68" s="51" t="str">
        <x:v>Craft DC -4; Duration +50%; Area / Range +50%</x:v>
      </x:c>
      <x:c r="G68" s="39" t="str">
        <x:v>Dark moss threaded with pale sacs that release a hovering mist when disturbed. It smells of wet wool, stone dust, and mild pepper.</x:v>
      </x:c>
    </x:row>
    <x:row r="69">
      <x:c r="A69" s="38" t="str">
        <x:v>Core</x:v>
      </x:c>
      <x:c r="B69" s="51" t="str">
        <x:v>Moss / Lichen</x:v>
      </x:c>
      <x:c r="C69" s="51" t="str">
        <x:v>Rare</x:v>
      </x:c>
      <x:c r="D69" s="51" t="str">
        <x:v>Whispermoss Colony</x:v>
      </x:c>
      <x:c r="E69" s="51" t="str"/>
      <x:c r="F69" s="51" t="str">
        <x:v>Craft DC -4; Effect +50%; +1 Extra Dose</x:v>
      </x:c>
      <x:c r="G69" s="39" t="str">
        <x:v>A thick bed of blue moss that rustles without wind. It feels cool and springy, smells of deep wells and cedar, and repeats nearby whispers as faint breath.</x:v>
      </x:c>
    </x:row>
    <x:row r="70">
      <x:c r="A70" s="38" t="str">
        <x:v>Core</x:v>
      </x:c>
      <x:c r="B70" s="51" t="str">
        <x:v>Moss / Lichen</x:v>
      </x:c>
      <x:c r="C70" s="51" t="str">
        <x:v>Very Rare</x:v>
      </x:c>
      <x:c r="D70" s="51" t="str">
        <x:v>Ageglass Lichen</x:v>
      </x:c>
      <x:c r="E70" s="51" t="str"/>
      <x:c r="F70" s="51" t="str">
        <x:v>Craft DC -6; Effect +75%; +2 Extra Doses</x:v>
      </x:c>
      <x:c r="G70" s="39" t="str">
        <x:v>A translucent lichen sheet like frosted glass. It crackles softly when bent and smells of old ruins, dust, and spring water.</x:v>
      </x:c>
    </x:row>
    <x:row r="71">
      <x:c r="A71" s="38" t="str">
        <x:v>Core</x:v>
      </x:c>
      <x:c r="B71" s="51" t="str">
        <x:v>Moss / Lichen</x:v>
      </x:c>
      <x:c r="C71" s="51" t="str">
        <x:v>Very Rare</x:v>
      </x:c>
      <x:c r="D71" s="51" t="str">
        <x:v>Crownstar Lichen</x:v>
      </x:c>
      <x:c r="E71" s="51" t="str"/>
      <x:c r="F71" s="51" t="str">
        <x:v>Craft DC -6; Duration +50%; Area / Range +75%</x:v>
      </x:c>
      <x:c r="G71" s="39" t="str">
        <x:v>A many-pointed golden lichen that grows only on exposed peaks. It feels warm in sunlight, smells of clean ozone and alpine flowers, and glitters when breathed upon.</x:v>
      </x:c>
    </x:row>
    <x:row r="72">
      <x:c r="A72" s="38" t="str">
        <x:v>Core</x:v>
      </x:c>
      <x:c r="B72" s="51" t="str">
        <x:v>Moss / Lichen</x:v>
      </x:c>
      <x:c r="C72" s="51" t="str">
        <x:v>Very Rare</x:v>
      </x:c>
      <x:c r="D72" s="51" t="str">
        <x:v>Dreamwatch Lichen</x:v>
      </x:c>
      <x:c r="E72" s="51" t="str">
        <x:v>Fear, Mind, Psychic</x:v>
      </x:c>
      <x:c r="F72" s="51" t="str">
        <x:v>Craft DC -6; Effect +125%</x:v>
      </x:c>
      <x:c r="G72" s="39" t="str">
        <x:v>A soft violet lichen that grows in eye-shaped rings. It feels like damp velvet, smells of moonlit bark and cold air, and leaves a faint tingling behind the eyes.</x:v>
      </x:c>
    </x:row>
    <x:row r="73">
      <x:c r="A73" s="38" t="str">
        <x:v>Core</x:v>
      </x:c>
      <x:c r="B73" s="51" t="str">
        <x:v>Moss / Lichen</x:v>
      </x:c>
      <x:c r="C73" s="51" t="str">
        <x:v>Very Rare</x:v>
      </x:c>
      <x:c r="D73" s="51" t="str">
        <x:v>Starmoss</x:v>
      </x:c>
      <x:c r="E73" s="51" t="str"/>
      <x:c r="F73" s="51" t="str">
        <x:v>Craft DC -6; Duration +125%</x:v>
      </x:c>
      <x:c r="G73" s="39" t="str">
        <x:v>A silver-specked moss that glimmers in dim light. It smells of night air, clean stone, and the first rain after drought.</x:v>
      </x:c>
    </x:row>
    <x:row r="74">
      <x:c r="A74" s="38" t="str">
        <x:v>Core</x:v>
      </x:c>
      <x:c r="B74" s="51" t="str">
        <x:v>Flower</x:v>
      </x:c>
      <x:c r="C74" s="51" t="str">
        <x:v>Common</x:v>
      </x:c>
      <x:c r="D74" s="51" t="str">
        <x:v>Bluecup Flower</x:v>
      </x:c>
      <x:c r="E74" s="51" t="str"/>
      <x:c r="F74" s="51" t="str">
        <x:v>No Craft DC reduction; Effect +25%</x:v>
      </x:c>
      <x:c r="G74" s="39" t="str">
        <x:v>A small cobalt cup with a white throat and cool waxy petals. It smells of rain, green apple, and fresh-cut grass, leaving blue pollen on the nose.</x:v>
      </x:c>
    </x:row>
    <x:row r="75">
      <x:c r="A75" s="38" t="str">
        <x:v>Core</x:v>
      </x:c>
      <x:c r="B75" s="51" t="str">
        <x:v>Flower</x:v>
      </x:c>
      <x:c r="C75" s="51" t="str">
        <x:v>Common</x:v>
      </x:c>
      <x:c r="D75" s="51" t="str">
        <x:v>Field Bloom</x:v>
      </x:c>
      <x:c r="E75" s="51" t="str"/>
      <x:c r="F75" s="51" t="str">
        <x:v>No Craft DC reduction; Effect +25%</x:v>
      </x:c>
      <x:c r="G75" s="39" t="str">
        <x:v>A small yellow-white flower with soft pollen and a hay-sweet smell. Its petals bruise easily under the thumb.</x:v>
      </x:c>
    </x:row>
    <x:row r="76">
      <x:c r="A76" s="38" t="str">
        <x:v>Core</x:v>
      </x:c>
      <x:c r="B76" s="51" t="str">
        <x:v>Flower</x:v>
      </x:c>
      <x:c r="C76" s="51" t="str">
        <x:v>Common</x:v>
      </x:c>
      <x:c r="D76" s="51" t="str">
        <x:v>Goldthread Daisy</x:v>
      </x:c>
      <x:c r="E76" s="51" t="str"/>
      <x:c r="F76" s="51" t="str">
        <x:v>No Craft DC reduction; Duration +25%</x:v>
      </x:c>
      <x:c r="G76" s="39" t="str">
        <x:v>A white daisy crossed by hair-thin golden veins. Its petals feel papery and smell of chamomile, honey, and sun-warmed hay.</x:v>
      </x:c>
    </x:row>
    <x:row r="77">
      <x:c r="A77" s="38" t="str">
        <x:v>Core</x:v>
      </x:c>
      <x:c r="B77" s="51" t="str">
        <x:v>Flower</x:v>
      </x:c>
      <x:c r="C77" s="51" t="str">
        <x:v>Common</x:v>
      </x:c>
      <x:c r="D77" s="51" t="str">
        <x:v>Rainbell Flower</x:v>
      </x:c>
      <x:c r="E77" s="51" t="str"/>
      <x:c r="F77" s="51" t="str">
        <x:v>No Craft DC reduction; Duration +25%</x:v>
      </x:c>
      <x:c r="G77" s="39" t="str">
        <x:v>A small blue bell flower that holds a single clear droplet beneath each bloom. Its petals feel cool and waxy and smell of rainfall and cucumber peel.</x:v>
      </x:c>
    </x:row>
    <x:row r="78">
      <x:c r="A78" s="38" t="str">
        <x:v>Core</x:v>
      </x:c>
      <x:c r="B78" s="51" t="str">
        <x:v>Flower</x:v>
      </x:c>
      <x:c r="C78" s="51" t="str">
        <x:v>Common</x:v>
      </x:c>
      <x:c r="D78" s="51" t="str">
        <x:v>Whiteclover Star</x:v>
      </x:c>
      <x:c r="E78" s="51" t="str"/>
      <x:c r="F78" s="51" t="str">
        <x:v>No Craft DC reduction; Area / Range +25%</x:v>
      </x:c>
      <x:c r="G78" s="39" t="str">
        <x:v>A five-pointed white blossom growing above soft clover leaves. It smells of milk, sweet hay, and honey, with a faint grassy taste.</x:v>
      </x:c>
    </x:row>
    <x:row r="79">
      <x:c r="A79" s="38" t="str">
        <x:v>Core</x:v>
      </x:c>
      <x:c r="B79" s="51" t="str">
        <x:v>Flower</x:v>
      </x:c>
      <x:c r="C79" s="51" t="str">
        <x:v>Uncommon</x:v>
      </x:c>
      <x:c r="D79" s="51" t="str">
        <x:v>Ashen Rose</x:v>
      </x:c>
      <x:c r="E79" s="51" t="str"/>
      <x:c r="F79" s="51" t="str">
        <x:v>Craft DC -2; Effect +25%; Area / Range +50%</x:v>
      </x:c>
      <x:c r="G79" s="39" t="str">
        <x:v>A charcoal-gray rose with ember-red edges. Its petals are warm and velvety, smelling of smoke, clove, and dark cherries.</x:v>
      </x:c>
    </x:row>
    <x:row r="80">
      <x:c r="A80" s="38" t="str">
        <x:v>Core</x:v>
      </x:c>
      <x:c r="B80" s="51" t="str">
        <x:v>Flower</x:v>
      </x:c>
      <x:c r="C80" s="51" t="str">
        <x:v>Uncommon</x:v>
      </x:c>
      <x:c r="D80" s="51" t="str">
        <x:v>Dreamlotus Bloom</x:v>
      </x:c>
      <x:c r="E80" s="51" t="str"/>
      <x:c r="F80" s="51" t="str">
        <x:v>Craft DC -2; Effect +25%; Save DC +1</x:v>
      </x:c>
      <x:c r="G80" s="39" t="str">
        <x:v>A violet lotus with pollen that sparkles like sleep-dust. Its scent is sweet, heavy, and just sharp enough to make the eyes water.</x:v>
      </x:c>
    </x:row>
    <x:row r="81">
      <x:c r="A81" s="38" t="str">
        <x:v>Core</x:v>
      </x:c>
      <x:c r="B81" s="51" t="str">
        <x:v>Flower</x:v>
      </x:c>
      <x:c r="C81" s="51" t="str">
        <x:v>Uncommon</x:v>
      </x:c>
      <x:c r="D81" s="51" t="str">
        <x:v>Pollenburst Daisy</x:v>
      </x:c>
      <x:c r="E81" s="51" t="str"/>
      <x:c r="F81" s="51" t="str">
        <x:v>Craft DC -2; Area / Range +75%</x:v>
      </x:c>
      <x:c r="G81" s="39" t="str">
        <x:v>A bright yellow daisy with an oversized powdery center. A touch releases a golden puff that smells of citrus, dry grass, and pepper.</x:v>
      </x:c>
    </x:row>
    <x:row r="82">
      <x:c r="A82" s="38" t="str">
        <x:v>Core</x:v>
      </x:c>
      <x:c r="B82" s="51" t="str">
        <x:v>Flower</x:v>
      </x:c>
      <x:c r="C82" s="51" t="str">
        <x:v>Uncommon</x:v>
      </x:c>
      <x:c r="D82" s="51" t="str">
        <x:v>Sunmend Marigold</x:v>
      </x:c>
      <x:c r="E82" s="51" t="str"/>
      <x:c r="F82" s="51" t="str">
        <x:v>Craft DC -2; Effect +50%; Duration +25%</x:v>
      </x:c>
      <x:c r="G82" s="39" t="str">
        <x:v>A bright orange blossom with warm petals and golden pollen. It smells of honey, cut grass, and clean bandages.</x:v>
      </x:c>
    </x:row>
    <x:row r="83">
      <x:c r="A83" s="38" t="str">
        <x:v>Core</x:v>
      </x:c>
      <x:c r="B83" s="51" t="str">
        <x:v>Flower</x:v>
      </x:c>
      <x:c r="C83" s="51" t="str">
        <x:v>Uncommon</x:v>
      </x:c>
      <x:c r="D83" s="51" t="str">
        <x:v>Whisperbell</x:v>
      </x:c>
      <x:c r="E83" s="51" t="str"/>
      <x:c r="F83" s="51" t="str">
        <x:v>Craft DC -2; Duration +25%; Save DC +1</x:v>
      </x:c>
      <x:c r="G83" s="39" t="str">
        <x:v>A pale lilac bell flower whose petals tremble near spoken words. It smells of violets and cool dust and gives a faint chiming note when plucked.</x:v>
      </x:c>
    </x:row>
    <x:row r="84">
      <x:c r="A84" s="38" t="str">
        <x:v>Core</x:v>
      </x:c>
      <x:c r="B84" s="51" t="str">
        <x:v>Flower</x:v>
      </x:c>
      <x:c r="C84" s="51" t="str">
        <x:v>Rare</x:v>
      </x:c>
      <x:c r="D84" s="51" t="str">
        <x:v>Fey Orchid</x:v>
      </x:c>
      <x:c r="E84" s="51" t="str">
        <x:v>Charm, Fey, Mind</x:v>
      </x:c>
      <x:c r="F84" s="51" t="str">
        <x:v>Craft DC -4; Effect +50%; Save DC +1</x:v>
      </x:c>
      <x:c r="G84" s="39" t="str">
        <x:v>A twisting orchid with blue-pink petals and luminous veins. It smells beautiful at first, then strange, like perfume from a dream.</x:v>
      </x:c>
    </x:row>
    <x:row r="85">
      <x:c r="A85" s="38" t="str">
        <x:v>Core</x:v>
      </x:c>
      <x:c r="B85" s="51" t="str">
        <x:v>Flower</x:v>
      </x:c>
      <x:c r="C85" s="51" t="str">
        <x:v>Rare</x:v>
      </x:c>
      <x:c r="D85" s="51" t="str">
        <x:v>Moonrose</x:v>
      </x:c>
      <x:c r="E85" s="51" t="str"/>
      <x:c r="F85" s="51" t="str">
        <x:v>Craft DC -4; Duration +50%; Save DC +1</x:v>
      </x:c>
      <x:c r="G85" s="39" t="str">
        <x:v>A pale lavender rose whose petals darken under direct sunlight. Its scent is cool, floral, and slightly metallic, lingering on the tongue like mint.</x:v>
      </x:c>
    </x:row>
    <x:row r="86">
      <x:c r="A86" s="38" t="str">
        <x:v>Core</x:v>
      </x:c>
      <x:c r="B86" s="51" t="str">
        <x:v>Flower</x:v>
      </x:c>
      <x:c r="C86" s="51" t="str">
        <x:v>Rare</x:v>
      </x:c>
      <x:c r="D86" s="51" t="str">
        <x:v>Starwake Orchid</x:v>
      </x:c>
      <x:c r="E86" s="51" t="str"/>
      <x:c r="F86" s="51" t="str">
        <x:v>Craft DC -4; Effect +50%; Duration +50%</x:v>
      </x:c>
      <x:c r="G86" s="39" t="str">
        <x:v>A deep blue orchid speckled like a night sky. Its petals feel cool and slick, smell of jasmine and ozone, and open only beneath starlight.</x:v>
      </x:c>
    </x:row>
    <x:row r="87">
      <x:c r="A87" s="38" t="str">
        <x:v>Core</x:v>
      </x:c>
      <x:c r="B87" s="51" t="str">
        <x:v>Flower</x:v>
      </x:c>
      <x:c r="C87" s="51" t="str">
        <x:v>Rare</x:v>
      </x:c>
      <x:c r="D87" s="51" t="str">
        <x:v>Thunderbell Blossom</x:v>
      </x:c>
      <x:c r="E87" s="51" t="str">
        <x:v>Thunder, Sound</x:v>
      </x:c>
      <x:c r="F87" s="51" t="str">
        <x:v>Craft DC -4; Effect +75%; Area / Range +25%</x:v>
      </x:c>
      <x:c r="G87" s="39" t="str">
        <x:v>A bell-shaped purple flower that trembles near loud sounds. It smells of rain, copper, and crushed petals.</x:v>
      </x:c>
    </x:row>
    <x:row r="88">
      <x:c r="A88" s="38" t="str">
        <x:v>Core</x:v>
      </x:c>
      <x:c r="B88" s="51" t="str">
        <x:v>Flower</x:v>
      </x:c>
      <x:c r="C88" s="51" t="str">
        <x:v>Very Rare</x:v>
      </x:c>
      <x:c r="D88" s="51" t="str">
        <x:v>Halo Lily</x:v>
      </x:c>
      <x:c r="E88" s="51" t="str">
        <x:v>Radiant, Holy</x:v>
      </x:c>
      <x:c r="F88" s="51" t="str">
        <x:v>Craft DC -6; Effect +125%</x:v>
      </x:c>
      <x:c r="G88" s="39" t="str">
        <x:v>A white lily with a ring of gold light at the throat. It smells of lilies, sun-warmed linen, and faint temple incense.</x:v>
      </x:c>
    </x:row>
    <x:row r="89">
      <x:c r="A89" s="38" t="str">
        <x:v>Core</x:v>
      </x:c>
      <x:c r="B89" s="51" t="str">
        <x:v>Flower</x:v>
      </x:c>
      <x:c r="C89" s="51" t="str">
        <x:v>Very Rare</x:v>
      </x:c>
      <x:c r="D89" s="51" t="str">
        <x:v>Oracle Lotus</x:v>
      </x:c>
      <x:c r="E89" s="51" t="str"/>
      <x:c r="F89" s="51" t="str">
        <x:v>Craft DC -6; Effect +25%; Die step +1</x:v>
      </x:c>
      <x:c r="G89" s="39" t="str">
        <x:v>A luminous white lotus with a shifting violet center. It smells differently to each observer—often incense, rain, or childhood flowers—and its pollen sparkles in the air.</x:v>
      </x:c>
    </x:row>
    <x:row r="90">
      <x:c r="A90" s="38" t="str">
        <x:v>Core</x:v>
      </x:c>
      <x:c r="B90" s="51" t="str">
        <x:v>Flower</x:v>
      </x:c>
      <x:c r="C90" s="51" t="str">
        <x:v>Very Rare</x:v>
      </x:c>
      <x:c r="D90" s="51" t="str">
        <x:v>Queen's Dreamlotus</x:v>
      </x:c>
      <x:c r="E90" s="51" t="str"/>
      <x:c r="F90" s="51" t="str">
        <x:v>Craft DC -6; Effect +25%; Save DC +3</x:v>
      </x:c>
      <x:c r="G90" s="39" t="str">
        <x:v>A midnight lotus with silver pollen and petals soft as velvet. Its fragrance is intoxicating, royal, and difficult to forget.</x:v>
      </x:c>
    </x:row>
    <x:row r="91">
      <x:c r="A91" s="38" t="str">
        <x:v>Core</x:v>
      </x:c>
      <x:c r="B91" s="51" t="str">
        <x:v>Flower</x:v>
      </x:c>
      <x:c r="C91" s="51" t="str">
        <x:v>Very Rare</x:v>
      </x:c>
      <x:c r="D91" s="51" t="str">
        <x:v>Starseer Lily</x:v>
      </x:c>
      <x:c r="E91" s="51" t="str"/>
      <x:c r="F91" s="51" t="str">
        <x:v>Craft DC -6; Effect +75%; Save DC +2</x:v>
      </x:c>
      <x:c r="G91" s="39" t="str">
        <x:v>A deep indigo lily flecked with tiny silver specks. Its petals feel cool as glass, and its fragrance shifts between lavender, candle smoke, and distant rain.</x:v>
      </x:c>
    </x:row>
    <x:row r="92">
      <x:c r="A92" s="38" t="str">
        <x:v>Core</x:v>
      </x:c>
      <x:c r="B92" s="51" t="str">
        <x:v>Leaf / Vine</x:v>
      </x:c>
      <x:c r="C92" s="51" t="str">
        <x:v>Common</x:v>
      </x:c>
      <x:c r="D92" s="51" t="str">
        <x:v>Bluecurl Leaf</x:v>
      </x:c>
      <x:c r="E92" s="51" t="str"/>
      <x:c r="F92" s="51" t="str">
        <x:v>No Craft DC reduction; Effect +25%</x:v>
      </x:c>
      <x:c r="G92" s="39" t="str">
        <x:v>A narrow blue-green leaf curled into a loose spiral. It is crisp, tastes of mint and celery, and smells of cold wind through grass.</x:v>
      </x:c>
    </x:row>
    <x:row r="93">
      <x:c r="A93" s="38" t="str">
        <x:v>Core</x:v>
      </x:c>
      <x:c r="B93" s="51" t="str">
        <x:v>Leaf / Vine</x:v>
      </x:c>
      <x:c r="C93" s="51" t="str">
        <x:v>Common</x:v>
      </x:c>
      <x:c r="D93" s="51" t="str">
        <x:v>Curlvine Tendril</x:v>
      </x:c>
      <x:c r="E93" s="51" t="str"/>
      <x:c r="F93" s="51" t="str">
        <x:v>No Craft DC reduction; Effect +25%</x:v>
      </x:c>
      <x:c r="G93" s="39" t="str">
        <x:v>A green tendril coiled like a watch spring. It grips warm skin gently, smells of cucumber and wet rope, and tastes sharply herbal.</x:v>
      </x:c>
    </x:row>
    <x:row r="94">
      <x:c r="A94" s="38" t="str">
        <x:v>Core</x:v>
      </x:c>
      <x:c r="B94" s="51" t="str">
        <x:v>Leaf / Vine</x:v>
      </x:c>
      <x:c r="C94" s="51" t="str">
        <x:v>Common</x:v>
      </x:c>
      <x:c r="D94" s="51" t="str">
        <x:v>Greenleaf</x:v>
      </x:c>
      <x:c r="E94" s="51" t="str"/>
      <x:c r="F94" s="51" t="str">
        <x:v>No Craft DC reduction; Duration +25%</x:v>
      </x:c>
      <x:c r="G94" s="39" t="str">
        <x:v>A crisp green leaf with pale veins and a fresh snap. It smells grassy, peppery, and clean.</x:v>
      </x:c>
    </x:row>
    <x:row r="95">
      <x:c r="A95" s="38" t="str">
        <x:v>Core</x:v>
      </x:c>
      <x:c r="B95" s="51" t="str">
        <x:v>Leaf / Vine</x:v>
      </x:c>
      <x:c r="C95" s="51" t="str">
        <x:v>Common</x:v>
      </x:c>
      <x:c r="D95" s="51" t="str">
        <x:v>Silvergrass Blade</x:v>
      </x:c>
      <x:c r="E95" s="51" t="str"/>
      <x:c r="F95" s="51" t="str">
        <x:v>No Craft DC reduction; Duration +25%</x:v>
      </x:c>
      <x:c r="G95" s="39" t="str">
        <x:v>A long grass blade with a silver underside and razor-fine edge. It feels cool and springy, smells of lemon peel and open fields, and hums in a breeze.</x:v>
      </x:c>
    </x:row>
    <x:row r="96">
      <x:c r="A96" s="38" t="str">
        <x:v>Core</x:v>
      </x:c>
      <x:c r="B96" s="51" t="str">
        <x:v>Leaf / Vine</x:v>
      </x:c>
      <x:c r="C96" s="51" t="str">
        <x:v>Common</x:v>
      </x:c>
      <x:c r="D96" s="51" t="str">
        <x:v>Stonevine Sprig</x:v>
      </x:c>
      <x:c r="E96" s="51" t="str"/>
      <x:c r="F96" s="51" t="str">
        <x:v>No Craft DC reduction; Area / Range +25%</x:v>
      </x:c>
      <x:c r="G96" s="39" t="str">
        <x:v>A gray vine segment with rough bark and flexible silver fibers inside. It smells of crushed ivy, limestone, and rain-dark wood.</x:v>
      </x:c>
    </x:row>
    <x:row r="97">
      <x:c r="A97" s="38" t="str">
        <x:v>Core</x:v>
      </x:c>
      <x:c r="B97" s="51" t="str">
        <x:v>Leaf / Vine</x:v>
      </x:c>
      <x:c r="C97" s="51" t="str">
        <x:v>Uncommon</x:v>
      </x:c>
      <x:c r="D97" s="51" t="str">
        <x:v>Breathvine</x:v>
      </x:c>
      <x:c r="E97" s="51" t="str"/>
      <x:c r="F97" s="51" t="str">
        <x:v>Craft DC -2; Effect +25%; Duration +50%</x:v>
      </x:c>
      <x:c r="G97" s="39" t="str">
        <x:v>A hollow blue vine that slowly inflates and deflates after cutting. It smells of mint, salt air, and clean water, with a cool vapor inside.</x:v>
      </x:c>
    </x:row>
    <x:row r="98">
      <x:c r="A98" s="38" t="str">
        <x:v>Core</x:v>
      </x:c>
      <x:c r="B98" s="51" t="str">
        <x:v>Leaf / Vine</x:v>
      </x:c>
      <x:c r="C98" s="51" t="str">
        <x:v>Uncommon</x:v>
      </x:c>
      <x:c r="D98" s="51" t="str">
        <x:v>Gripsap Vine</x:v>
      </x:c>
      <x:c r="E98" s="51" t="str"/>
      <x:c r="F98" s="51" t="str">
        <x:v>Craft DC -2; Duration +75%</x:v>
      </x:c>
      <x:c r="G98" s="39" t="str">
        <x:v>A sticky vine cutting with tiny gripping hairs along the stem. It smells of green sap, wet rope, and crushed nettle.</x:v>
      </x:c>
    </x:row>
    <x:row r="99">
      <x:c r="A99" s="38" t="str">
        <x:v>Core</x:v>
      </x:c>
      <x:c r="B99" s="51" t="str">
        <x:v>Leaf / Vine</x:v>
      </x:c>
      <x:c r="C99" s="51" t="str">
        <x:v>Uncommon</x:v>
      </x:c>
      <x:c r="D99" s="51" t="str">
        <x:v>Hawkstep Leaf</x:v>
      </x:c>
      <x:c r="E99" s="51" t="str"/>
      <x:c r="F99" s="51" t="str">
        <x:v>Craft DC -2; Duration +25%; Area / Range +50%</x:v>
      </x:c>
      <x:c r="G99" s="39" t="str">
        <x:v>A narrow bronze-green leaf marked like a bird's talon. It is dry and crisp, smells of sage and hot stone, and tingles against the soles.</x:v>
      </x:c>
    </x:row>
    <x:row r="100">
      <x:c r="A100" s="38" t="str">
        <x:v>Core</x:v>
      </x:c>
      <x:c r="B100" s="51" t="str">
        <x:v>Leaf / Vine</x:v>
      </x:c>
      <x:c r="C100" s="51" t="str">
        <x:v>Uncommon</x:v>
      </x:c>
      <x:c r="D100" s="51" t="str">
        <x:v>Swiftleaf</x:v>
      </x:c>
      <x:c r="E100" s="51" t="str"/>
      <x:c r="F100" s="51" t="str">
        <x:v>Craft DC -2; Effect +75%</x:v>
      </x:c>
      <x:c r="G100" s="39" t="str">
        <x:v>A narrow leaf that curls and uncurls when touched. Its scent is sharp, minty, and wakeful.</x:v>
      </x:c>
    </x:row>
    <x:row r="101">
      <x:c r="A101" s="38" t="str">
        <x:v>Core</x:v>
      </x:c>
      <x:c r="B101" s="51" t="str">
        <x:v>Leaf / Vine</x:v>
      </x:c>
      <x:c r="C101" s="51" t="str">
        <x:v>Uncommon</x:v>
      </x:c>
      <x:c r="D101" s="51" t="str">
        <x:v>Twinfrond</x:v>
      </x:c>
      <x:c r="E101" s="51" t="str"/>
      <x:c r="F101" s="51" t="str">
        <x:v>Craft DC -2; Effect +50%; Duration +25%</x:v>
      </x:c>
      <x:c r="G101" s="39" t="str">
        <x:v>Two mirrored fern fronds grow from a single copper stem. Their surfaces feel silky and smell of green tea, damp bark, and faint citrus.</x:v>
      </x:c>
    </x:row>
    <x:row r="102">
      <x:c r="A102" s="38" t="str">
        <x:v>Core</x:v>
      </x:c>
      <x:c r="B102" s="51" t="str">
        <x:v>Leaf / Vine</x:v>
      </x:c>
      <x:c r="C102" s="51" t="str">
        <x:v>Rare</x:v>
      </x:c>
      <x:c r="D102" s="51" t="str">
        <x:v>Moonsilver Fern</x:v>
      </x:c>
      <x:c r="E102" s="51" t="str"/>
      <x:c r="F102" s="51" t="str">
        <x:v>Craft DC -4; Effect +75%; Duration +25%</x:v>
      </x:c>
      <x:c r="G102" s="39" t="str">
        <x:v>A silver-edged fern with cool dew collecting on the fronds. It smells of moonlit grass and clean water.</x:v>
      </x:c>
    </x:row>
    <x:row r="103">
      <x:c r="A103" s="38" t="str">
        <x:v>Core</x:v>
      </x:c>
      <x:c r="B103" s="51" t="str">
        <x:v>Leaf / Vine</x:v>
      </x:c>
      <x:c r="C103" s="51" t="str">
        <x:v>Rare</x:v>
      </x:c>
      <x:c r="D103" s="51" t="str">
        <x:v>Skyreach Vine</x:v>
      </x:c>
      <x:c r="E103" s="51" t="str"/>
      <x:c r="F103" s="51" t="str">
        <x:v>Craft DC -4; Duration +100%</x:v>
      </x:c>
      <x:c r="G103" s="39" t="str">
        <x:v>A long pale vine that seems lighter than it should be. It smells of rain-washed leaves and high wind.</x:v>
      </x:c>
    </x:row>
    <x:row r="104">
      <x:c r="A104" s="38" t="str">
        <x:v>Core</x:v>
      </x:c>
      <x:c r="B104" s="51" t="str">
        <x:v>Leaf / Vine</x:v>
      </x:c>
      <x:c r="C104" s="51" t="str">
        <x:v>Rare</x:v>
      </x:c>
      <x:c r="D104" s="51" t="str">
        <x:v>Stormrunner Fern</x:v>
      </x:c>
      <x:c r="E104" s="51" t="str">
        <x:v>Stunning, Lightning, Thunder</x:v>
      </x:c>
      <x:c r="F104" s="51" t="str">
        <x:v>Craft DC -4; Effect +50%; Area / Range +50%</x:v>
      </x:c>
      <x:c r="G104" s="39" t="str">
        <x:v>A copper fern whose fronds snap toward distant thunder. It feels electrically warm, smells of rain and crushed pepper, and raises the hair on the arm.</x:v>
      </x:c>
    </x:row>
    <x:row r="105">
      <x:c r="A105" s="38" t="str">
        <x:v>Core</x:v>
      </x:c>
      <x:c r="B105" s="51" t="str">
        <x:v>Leaf / Vine</x:v>
      </x:c>
      <x:c r="C105" s="51" t="str">
        <x:v>Rare</x:v>
      </x:c>
      <x:c r="D105" s="51" t="str">
        <x:v>Windlace Vine</x:v>
      </x:c>
      <x:c r="E105" s="51" t="str"/>
      <x:c r="F105" s="51" t="str">
        <x:v>Craft DC -4; Duration +50%; Area / Range +50%</x:v>
      </x:c>
      <x:c r="G105" s="39" t="str">
        <x:v>A nearly weightless vine with perforated leaves that whistle softly in moving air. It smells of meadow grass, ozone, and clean linen.</x:v>
      </x:c>
    </x:row>
    <x:row r="106">
      <x:c r="A106" s="38" t="str">
        <x:v>Core</x:v>
      </x:c>
      <x:c r="B106" s="51" t="str">
        <x:v>Leaf / Vine</x:v>
      </x:c>
      <x:c r="C106" s="51" t="str">
        <x:v>Very Rare</x:v>
      </x:c>
      <x:c r="D106" s="51" t="str">
        <x:v>Horizon Vine</x:v>
      </x:c>
      <x:c r="E106" s="51" t="str"/>
      <x:c r="F106" s="51" t="str">
        <x:v>Craft DC -6; Effect +75%; Area / Range +50%</x:v>
      </x:c>
      <x:c r="G106" s="39" t="str">
        <x:v>A sky-blue vine that always stretches toward the farthest visible point. It feels weightless, smells of high wind and citrus, and uncoils even against gravity.</x:v>
      </x:c>
    </x:row>
    <x:row r="107">
      <x:c r="A107" s="38" t="str">
        <x:v>Core</x:v>
      </x:c>
      <x:c r="B107" s="51" t="str">
        <x:v>Leaf / Vine</x:v>
      </x:c>
      <x:c r="C107" s="51" t="str">
        <x:v>Very Rare</x:v>
      </x:c>
      <x:c r="D107" s="51" t="str">
        <x:v>Silverwake Fern</x:v>
      </x:c>
      <x:c r="E107" s="51" t="str"/>
      <x:c r="F107" s="51" t="str">
        <x:v>Craft DC -6; Effect +125%</x:v>
      </x:c>
      <x:c r="G107" s="39" t="str">
        <x:v>A narrow silver-green fern that trembles without wind. The leaves feel slick and springy, and the crushed fronds smell of mint, rainwater, and bright metal.</x:v>
      </x:c>
    </x:row>
    <x:row r="108">
      <x:c r="A108" s="38" t="str">
        <x:v>Core</x:v>
      </x:c>
      <x:c r="B108" s="51" t="str">
        <x:v>Leaf / Vine</x:v>
      </x:c>
      <x:c r="C108" s="51" t="str">
        <x:v>Very Rare</x:v>
      </x:c>
      <x:c r="D108" s="51" t="str">
        <x:v>Thunderstep Fern</x:v>
      </x:c>
      <x:c r="E108" s="51" t="str"/>
      <x:c r="F108" s="51" t="str">
        <x:v>Craft DC -6; Duration +125%</x:v>
      </x:c>
      <x:c r="G108" s="39" t="str">
        <x:v>A dark fern with blue veins that prickle against skin. When crushed, it smells of storm air and sharp green spice.</x:v>
      </x:c>
    </x:row>
    <x:row r="109">
      <x:c r="A109" s="38" t="str">
        <x:v>Core</x:v>
      </x:c>
      <x:c r="B109" s="51" t="str">
        <x:v>Leaf / Vine</x:v>
      </x:c>
      <x:c r="C109" s="51" t="str">
        <x:v>Very Rare</x:v>
      </x:c>
      <x:c r="D109" s="51" t="str">
        <x:v>Worldvine Tendril</x:v>
      </x:c>
      <x:c r="E109" s="51" t="str"/>
      <x:c r="F109" s="51" t="str">
        <x:v>Craft DC -6; Duration +25%; Die step +1</x:v>
      </x:c>
      <x:c r="G109" s="39" t="str">
        <x:v>A living green tendril with gold fibers under the skin. It curls toward warmth and smells of deep jungle rain.</x:v>
      </x:c>
    </x:row>
    <x:row r="110">
      <x:c r="A110" s="38" t="str">
        <x:v>Core</x:v>
      </x:c>
      <x:c r="B110" s="51" t="str">
        <x:v>Thorn / Bark / Wood</x:v>
      </x:c>
      <x:c r="C110" s="51" t="str">
        <x:v>Common</x:v>
      </x:c>
      <x:c r="D110" s="51" t="str">
        <x:v>Ashbark Flake</x:v>
      </x:c>
      <x:c r="E110" s="51" t="str"/>
      <x:c r="F110" s="51" t="str">
        <x:v>No Craft DC reduction; Duration +25%</x:v>
      </x:c>
      <x:c r="G110" s="39" t="str">
        <x:v>A pale flake of bark with dark soot trapped in its grain. It is dry and brittle, smelling of cold fireplaces, oak, and mineral dust.</x:v>
      </x:c>
    </x:row>
    <x:row r="111">
      <x:c r="A111" s="38" t="str">
        <x:v>Core</x:v>
      </x:c>
      <x:c r="B111" s="51" t="str">
        <x:v>Thorn / Bark / Wood</x:v>
      </x:c>
      <x:c r="C111" s="51" t="str">
        <x:v>Common</x:v>
      </x:c>
      <x:c r="D111" s="51" t="str">
        <x:v>Briarwood Chip</x:v>
      </x:c>
      <x:c r="E111" s="51" t="str"/>
      <x:c r="F111" s="51" t="str">
        <x:v>No Craft DC reduction; Duration +25%</x:v>
      </x:c>
      <x:c r="G111" s="39" t="str">
        <x:v>A reddish chip cut from dense briarwood, crossed by tiny black thorns. It is hard and resinous and smells of rose stems and smoke.</x:v>
      </x:c>
    </x:row>
    <x:row r="112">
      <x:c r="A112" s="38" t="str">
        <x:v>Core</x:v>
      </x:c>
      <x:c r="B112" s="51" t="str">
        <x:v>Thorn / Bark / Wood</x:v>
      </x:c>
      <x:c r="C112" s="51" t="str">
        <x:v>Common</x:v>
      </x:c>
      <x:c r="D112" s="51" t="str">
        <x:v>Crowthorn</x:v>
      </x:c>
      <x:c r="E112" s="51" t="str"/>
      <x:c r="F112" s="51" t="str">
        <x:v>No Craft DC reduction; Effect +25%</x:v>
      </x:c>
      <x:c r="G112" s="39" t="str">
        <x:v>A glossy black thorn curved like a beak. It feels hard as iron, smells faintly of bitter almonds and rain, and leaves a pinprick numbness.</x:v>
      </x:c>
    </x:row>
    <x:row r="113">
      <x:c r="A113" s="38" t="str">
        <x:v>Core</x:v>
      </x:c>
      <x:c r="B113" s="51" t="str">
        <x:v>Thorn / Bark / Wood</x:v>
      </x:c>
      <x:c r="C113" s="51" t="str">
        <x:v>Common</x:v>
      </x:c>
      <x:c r="D113" s="51" t="str">
        <x:v>Oak Bark</x:v>
      </x:c>
      <x:c r="E113" s="51" t="str"/>
      <x:c r="F113" s="51" t="str">
        <x:v>No Craft DC reduction; Effect +25%</x:v>
      </x:c>
      <x:c r="G113" s="39" t="str">
        <x:v>A rough strip of ordinary oak bark with dry tannic dust. It smells woody, bitter, and familiar.</x:v>
      </x:c>
    </x:row>
    <x:row r="114">
      <x:c r="A114" s="38" t="str">
        <x:v>Core</x:v>
      </x:c>
      <x:c r="B114" s="51" t="str">
        <x:v>Thorn / Bark / Wood</x:v>
      </x:c>
      <x:c r="C114" s="51" t="str">
        <x:v>Common</x:v>
      </x:c>
      <x:c r="D114" s="51" t="str">
        <x:v>Pale Thorn</x:v>
      </x:c>
      <x:c r="E114" s="51" t="str"/>
      <x:c r="F114" s="51" t="str">
        <x:v>No Craft DC reduction; Effect +25%</x:v>
      </x:c>
      <x:c r="G114" s="39" t="str">
        <x:v>A long ivory thorn with a faintly translucent tip. It is cool, smooth, and smells of dry wood, bone dust, and bitter sap.</x:v>
      </x:c>
    </x:row>
    <x:row r="115">
      <x:c r="A115" s="38" t="str">
        <x:v>Core</x:v>
      </x:c>
      <x:c r="B115" s="51" t="str">
        <x:v>Thorn / Bark / Wood</x:v>
      </x:c>
      <x:c r="C115" s="51" t="str">
        <x:v>Uncommon</x:v>
      </x:c>
      <x:c r="D115" s="51" t="str">
        <x:v>Briar Thorn</x:v>
      </x:c>
      <x:c r="E115" s="51" t="str"/>
      <x:c r="F115" s="51" t="str">
        <x:v>Craft DC -2; Duration +75%</x:v>
      </x:c>
      <x:c r="G115" s="39" t="str">
        <x:v>A bundle of hooked thorns with reddish tips. It catches on gloves and smells dry, green, and faintly bloody.</x:v>
      </x:c>
    </x:row>
    <x:row r="116">
      <x:c r="A116" s="38" t="str">
        <x:v>Core</x:v>
      </x:c>
      <x:c r="B116" s="51" t="str">
        <x:v>Thorn / Bark / Wood</x:v>
      </x:c>
      <x:c r="C116" s="51" t="str">
        <x:v>Uncommon</x:v>
      </x:c>
      <x:c r="D116" s="51" t="str">
        <x:v>Emberwood Curl</x:v>
      </x:c>
      <x:c r="E116" s="51" t="str">
        <x:v>Fire</x:v>
      </x:c>
      <x:c r="F116" s="51" t="str">
        <x:v>Craft DC -2; Effect +25%; Duration +50%</x:v>
      </x:c>
      <x:c r="G116" s="39" t="str">
        <x:v>A thin curl of red wood that remains warm after sunset. It smells of cinnamon bark, smoke, and orange peel, and flexes without cracking.</x:v>
      </x:c>
    </x:row>
    <x:row r="117">
      <x:c r="A117" s="38" t="str">
        <x:v>Core</x:v>
      </x:c>
      <x:c r="B117" s="51" t="str">
        <x:v>Thorn / Bark / Wood</x:v>
      </x:c>
      <x:c r="C117" s="51" t="str">
        <x:v>Uncommon</x:v>
      </x:c>
      <x:c r="D117" s="51" t="str">
        <x:v>Ironbark Strip</x:v>
      </x:c>
      <x:c r="E117" s="51" t="str"/>
      <x:c r="F117" s="51" t="str">
        <x:v>Craft DC -2; Effect +75%</x:v>
      </x:c>
      <x:c r="G117" s="39" t="str">
        <x:v>A dark bark strip with gray ridges hard as scale. Its shavings smell of ironwood, smoke, and bitter tea.</x:v>
      </x:c>
    </x:row>
    <x:row r="118">
      <x:c r="A118" s="38" t="str">
        <x:v>Core</x:v>
      </x:c>
      <x:c r="B118" s="51" t="str">
        <x:v>Thorn / Bark / Wood</x:v>
      </x:c>
      <x:c r="C118" s="51" t="str">
        <x:v>Uncommon</x:v>
      </x:c>
      <x:c r="D118" s="51" t="str">
        <x:v>Redbark Curl</x:v>
      </x:c>
      <x:c r="E118" s="51" t="str"/>
      <x:c r="F118" s="51" t="str">
        <x:v>Craft DC -2; Effect +50%; Duration +25%</x:v>
      </x:c>
      <x:c r="G118" s="39" t="str">
        <x:v>A curled strip of crimson bark with a soft silver underside. It feels leathery and smells of cinnamon, iron-rich soil, and fresh-cut timber.</x:v>
      </x:c>
    </x:row>
    <x:row r="119">
      <x:c r="A119" s="38" t="str">
        <x:v>Core</x:v>
      </x:c>
      <x:c r="B119" s="51" t="str">
        <x:v>Thorn / Bark / Wood</x:v>
      </x:c>
      <x:c r="C119" s="51" t="str">
        <x:v>Uncommon</x:v>
      </x:c>
      <x:c r="D119" s="51" t="str">
        <x:v>Stonebriar</x:v>
      </x:c>
      <x:c r="E119" s="51" t="str"/>
      <x:c r="F119" s="51" t="str">
        <x:v>Craft DC -2; Effect +25%; Save DC +1</x:v>
      </x:c>
      <x:c r="G119" s="39" t="str">
        <x:v>A gray-green briar with bark textured like sandstone. It is rough and heavy, smells of crushed thyme and quarry dust, and sparks against steel.</x:v>
      </x:c>
    </x:row>
    <x:row r="120">
      <x:c r="A120" s="38" t="str">
        <x:v>Core</x:v>
      </x:c>
      <x:c r="B120" s="51" t="str">
        <x:v>Thorn / Bark / Wood</x:v>
      </x:c>
      <x:c r="C120" s="51" t="str">
        <x:v>Rare</x:v>
      </x:c>
      <x:c r="D120" s="51" t="str">
        <x:v>Bloodthorn Bundle</x:v>
      </x:c>
      <x:c r="E120" s="51" t="str"/>
      <x:c r="F120" s="51" t="str">
        <x:v>Craft DC -4; Effect +50%; Save DC +1</x:v>
      </x:c>
      <x:c r="G120" s="39" t="str">
        <x:v>A thorny bundle wrapped in dark red fibers. Its points bead with sticky sap and smell of copper and bramble.</x:v>
      </x:c>
    </x:row>
    <x:row r="121">
      <x:c r="A121" s="38" t="str">
        <x:v>Core</x:v>
      </x:c>
      <x:c r="B121" s="51" t="str">
        <x:v>Thorn / Bark / Wood</x:v>
      </x:c>
      <x:c r="C121" s="51" t="str">
        <x:v>Rare</x:v>
      </x:c>
      <x:c r="D121" s="51" t="str">
        <x:v>Guardian Oak Heartwood</x:v>
      </x:c>
      <x:c r="E121" s="51" t="str"/>
      <x:c r="F121" s="51" t="str">
        <x:v>Craft DC -4; Effect +50%; Duration +50%</x:v>
      </x:c>
      <x:c r="G121" s="39" t="str">
        <x:v>Dense golden heartwood cut from a tree scarred by lightning. It smells of acorns, rain, and old leather, and vibrates faintly when danger approaches.</x:v>
      </x:c>
    </x:row>
    <x:row r="122">
      <x:c r="A122" s="38" t="str">
        <x:v>Core</x:v>
      </x:c>
      <x:c r="B122" s="51" t="str">
        <x:v>Thorn / Bark / Wood</x:v>
      </x:c>
      <x:c r="C122" s="51" t="str">
        <x:v>Rare</x:v>
      </x:c>
      <x:c r="D122" s="51" t="str">
        <x:v>Kingshield Bark</x:v>
      </x:c>
      <x:c r="E122" s="51" t="str"/>
      <x:c r="F122" s="51" t="str">
        <x:v>Craft DC -4; Effect +100%</x:v>
      </x:c>
      <x:c r="G122" s="39" t="str">
        <x:v>A broad golden-brown bark scale with overlapping ridges like armor plates. It smells of oak smoke, leather, and warm spice.</x:v>
      </x:c>
    </x:row>
    <x:row r="123">
      <x:c r="A123" s="38" t="str">
        <x:v>Core</x:v>
      </x:c>
      <x:c r="B123" s="51" t="str">
        <x:v>Thorn / Bark / Wood</x:v>
      </x:c>
      <x:c r="C123" s="51" t="str">
        <x:v>Rare</x:v>
      </x:c>
      <x:c r="D123" s="51" t="str">
        <x:v>Stonebark Shaving</x:v>
      </x:c>
      <x:c r="E123" s="51" t="str"/>
      <x:c r="F123" s="51" t="str">
        <x:v>Craft DC -4; Effect +75%; Duration +25%</x:v>
      </x:c>
      <x:c r="G123" s="39" t="str">
        <x:v>A pale shaving from bark hardened like stone. It rasps in the mortar and smells of chalk, oak, and rain.</x:v>
      </x:c>
    </x:row>
    <x:row r="124">
      <x:c r="A124" s="38" t="str">
        <x:v>Core</x:v>
      </x:c>
      <x:c r="B124" s="51" t="str">
        <x:v>Thorn / Bark / Wood</x:v>
      </x:c>
      <x:c r="C124" s="51" t="str">
        <x:v>Very Rare</x:v>
      </x:c>
      <x:c r="D124" s="51" t="str">
        <x:v>Adamant Briarheart</x:v>
      </x:c>
      <x:c r="E124" s="51" t="str"/>
      <x:c r="F124" s="51" t="str">
        <x:v>Craft DC -6; Effect +25%; Die step +1</x:v>
      </x:c>
      <x:c r="G124" s="39" t="str">
        <x:v>A fist-sized knot of metallic black briarwood threaded with green light. It rings like steel, smells of sap and lightning, and cannot be cut by ordinary knives.</x:v>
      </x:c>
    </x:row>
    <x:row r="125">
      <x:c r="A125" s="38" t="str">
        <x:v>Core</x:v>
      </x:c>
      <x:c r="B125" s="51" t="str">
        <x:v>Thorn / Bark / Wood</x:v>
      </x:c>
      <x:c r="C125" s="51" t="str">
        <x:v>Very Rare</x:v>
      </x:c>
      <x:c r="D125" s="51" t="str">
        <x:v>Crownthorn Knot</x:v>
      </x:c>
      <x:c r="E125" s="51" t="str">
        <x:v>Blindness, Sight</x:v>
      </x:c>
      <x:c r="F125" s="51" t="str">
        <x:v>Craft DC -6; Effect +75%; Save DC +2</x:v>
      </x:c>
      <x:c r="G125" s="39" t="str">
        <x:v>A twisted thorn-knot shaped like a small crown. Its barbs shine gold at the tips and smell of bitter sap and ozone.</x:v>
      </x:c>
    </x:row>
    <x:row r="126">
      <x:c r="A126" s="38" t="str">
        <x:v>Core</x:v>
      </x:c>
      <x:c r="B126" s="51" t="str">
        <x:v>Thorn / Bark / Wood</x:v>
      </x:c>
      <x:c r="C126" s="51" t="str">
        <x:v>Very Rare</x:v>
      </x:c>
      <x:c r="D126" s="51" t="str">
        <x:v>Elder Ironwood Heart</x:v>
      </x:c>
      <x:c r="E126" s="51" t="str"/>
      <x:c r="F126" s="51" t="str">
        <x:v>Craft DC -6; Effect +125%</x:v>
      </x:c>
      <x:c r="G126" s="39" t="str">
        <x:v>A dense black heartwood chip with silver grain. It feels almost metallic and smells of old forests and forge smoke.</x:v>
      </x:c>
    </x:row>
    <x:row r="127">
      <x:c r="A127" s="38" t="str">
        <x:v>Core</x:v>
      </x:c>
      <x:c r="B127" s="51" t="str">
        <x:v>Thorn / Bark / Wood</x:v>
      </x:c>
      <x:c r="C127" s="51" t="str">
        <x:v>Very Rare</x:v>
      </x:c>
      <x:c r="D127" s="51" t="str">
        <x:v>Worldbriar Heart</x:v>
      </x:c>
      <x:c r="E127" s="51" t="str"/>
      <x:c r="F127" s="51" t="str">
        <x:v>Craft DC -6; Effect +75%; Duration +50%</x:v>
      </x:c>
      <x:c r="G127" s="39" t="str">
        <x:v>A fist-sized knot of black wood wrapped in living green thorns. It pulses faintly when watered and smells of forest rain, resin, and blood-warm sap.</x:v>
      </x:c>
    </x:row>
    <x:row r="128">
      <x:c r="A128" s="38" t="str">
        <x:v>Core</x:v>
      </x:c>
      <x:c r="B128" s="51" t="str">
        <x:v>Mineral / Salt / Ash</x:v>
      </x:c>
      <x:c r="C128" s="51" t="str">
        <x:v>Common</x:v>
      </x:c>
      <x:c r="D128" s="51" t="str">
        <x:v>Bonewhite Ash</x:v>
      </x:c>
      <x:c r="E128" s="51" t="str"/>
      <x:c r="F128" s="51" t="str">
        <x:v>No Craft DC reduction; Effect +25%</x:v>
      </x:c>
      <x:c r="G128" s="39" t="str">
        <x:v>Fine white ash with a silky texture and faint warmth. It smells of clean charcoal, dry herbs, and sun-baked clay.</x:v>
      </x:c>
    </x:row>
    <x:row r="129">
      <x:c r="A129" s="38" t="str">
        <x:v>Core</x:v>
      </x:c>
      <x:c r="B129" s="51" t="str">
        <x:v>Mineral / Salt / Ash</x:v>
      </x:c>
      <x:c r="C129" s="51" t="str">
        <x:v>Common</x:v>
      </x:c>
      <x:c r="D129" s="51" t="str">
        <x:v>Cave Salt</x:v>
      </x:c>
      <x:c r="E129" s="51" t="str"/>
      <x:c r="F129" s="51" t="str">
        <x:v>No Craft DC reduction; Duration +25%</x:v>
      </x:c>
      <x:c r="G129" s="39" t="str">
        <x:v>Coarse gray crystals gathered from cave walls. They crunch like sand, taste smoky and mineral, and smell faintly of wet limestone.</x:v>
      </x:c>
    </x:row>
    <x:row r="130">
      <x:c r="A130" s="38" t="str">
        <x:v>Core</x:v>
      </x:c>
      <x:c r="B130" s="51" t="str">
        <x:v>Mineral / Salt / Ash</x:v>
      </x:c>
      <x:c r="C130" s="51" t="str">
        <x:v>Common</x:v>
      </x:c>
      <x:c r="D130" s="51" t="str">
        <x:v>Hearth Ash</x:v>
      </x:c>
      <x:c r="E130" s="51" t="str"/>
      <x:c r="F130" s="51" t="str">
        <x:v>No Craft DC reduction; Area / Range +25%</x:v>
      </x:c>
      <x:c r="G130" s="39" t="str">
        <x:v>Soft gray ash sifted from medicinal hardwood fires. It is warm, silky, and smells of charcoal, rosemary, and baked clay.</x:v>
      </x:c>
    </x:row>
    <x:row r="131">
      <x:c r="A131" s="38" t="str">
        <x:v>Core</x:v>
      </x:c>
      <x:c r="B131" s="51" t="str">
        <x:v>Mineral / Salt / Ash</x:v>
      </x:c>
      <x:c r="C131" s="51" t="str">
        <x:v>Common</x:v>
      </x:c>
      <x:c r="D131" s="51" t="str">
        <x:v>River Chalk</x:v>
      </x:c>
      <x:c r="E131" s="51" t="str"/>
      <x:c r="F131" s="51" t="str">
        <x:v>No Craft DC reduction; Effect +25%</x:v>
      </x:c>
      <x:c r="G131" s="39" t="str">
        <x:v>A smooth pale chalk pebble gathered from fast water. It crumbles cool and fine, tasting mineral and smelling of wet stone.</x:v>
      </x:c>
    </x:row>
    <x:row r="132">
      <x:c r="A132" s="38" t="str">
        <x:v>Core</x:v>
      </x:c>
      <x:c r="B132" s="51" t="str">
        <x:v>Mineral / Salt / Ash</x:v>
      </x:c>
      <x:c r="C132" s="51" t="str">
        <x:v>Common</x:v>
      </x:c>
      <x:c r="D132" s="51" t="str">
        <x:v>Spring Salt</x:v>
      </x:c>
      <x:c r="E132" s="51" t="str"/>
      <x:c r="F132" s="51" t="str">
        <x:v>No Craft DC reduction; Duration +25%</x:v>
      </x:c>
      <x:c r="G132" s="39" t="str">
        <x:v>Coarse white salt with green flecks and a clean mineral scent. It tastes bright and cold.</x:v>
      </x:c>
    </x:row>
    <x:row r="133">
      <x:c r="A133" s="38" t="str">
        <x:v>Core</x:v>
      </x:c>
      <x:c r="B133" s="51" t="str">
        <x:v>Mineral / Salt / Ash</x:v>
      </x:c>
      <x:c r="C133" s="51" t="str">
        <x:v>Uncommon</x:v>
      </x:c>
      <x:c r="D133" s="51" t="str">
        <x:v>Alchemical Salt</x:v>
      </x:c>
      <x:c r="E133" s="51" t="str"/>
      <x:c r="F133" s="51" t="str">
        <x:v>Craft DC -2; Duration +75%</x:v>
      </x:c>
      <x:c r="G133" s="39" t="str">
        <x:v>A refined salt that sparks faintly under a pestle. It smells sterile, mineral, and sharp.</x:v>
      </x:c>
    </x:row>
    <x:row r="134">
      <x:c r="A134" s="38" t="str">
        <x:v>Core</x:v>
      </x:c>
      <x:c r="B134" s="51" t="str">
        <x:v>Mineral / Salt / Ash</x:v>
      </x:c>
      <x:c r="C134" s="51" t="str">
        <x:v>Uncommon</x:v>
      </x:c>
      <x:c r="D134" s="51" t="str">
        <x:v>Charcoal Ash</x:v>
      </x:c>
      <x:c r="E134" s="51" t="str"/>
      <x:c r="F134" s="51" t="str">
        <x:v>Craft DC -2; Duration +25%; +1 Extra Dose</x:v>
      </x:c>
      <x:c r="G134" s="39" t="str">
        <x:v>Soft black ash with silver-gray dust at the edges. It smells smoky, dry, and faintly sweet.</x:v>
      </x:c>
    </x:row>
    <x:row r="135">
      <x:c r="A135" s="38" t="str">
        <x:v>Core</x:v>
      </x:c>
      <x:c r="B135" s="51" t="str">
        <x:v>Mineral / Salt / Ash</x:v>
      </x:c>
      <x:c r="C135" s="51" t="str">
        <x:v>Uncommon</x:v>
      </x:c>
      <x:c r="D135" s="51" t="str">
        <x:v>Glass Sand</x:v>
      </x:c>
      <x:c r="E135" s="51" t="str"/>
      <x:c r="F135" s="51" t="str">
        <x:v>Craft DC -2; Effect +50%; Duration +25%</x:v>
      </x:c>
      <x:c r="G135" s="39" t="str">
        <x:v>Fine transparent grains that chime faintly when poured. They feel sharp but leave no cuts and smell of hot stone and salt air.</x:v>
      </x:c>
    </x:row>
    <x:row r="136">
      <x:c r="A136" s="38" t="str">
        <x:v>Core</x:v>
      </x:c>
      <x:c r="B136" s="51" t="str">
        <x:v>Mineral / Salt / Ash</x:v>
      </x:c>
      <x:c r="C136" s="51" t="str">
        <x:v>Uncommon</x:v>
      </x:c>
      <x:c r="D136" s="51" t="str">
        <x:v>Mireglass Sand</x:v>
      </x:c>
      <x:c r="E136" s="51" t="str"/>
      <x:c r="F136" s="51" t="str">
        <x:v>Craft DC -2; Duration +25%; Save DC +1</x:v>
      </x:c>
      <x:c r="G136" s="39" t="str">
        <x:v>Dark green glass grains rounded smooth by swamp water. They feel cool and oily, smell of reeds and iron, and glow faintly beneath moonlight.</x:v>
      </x:c>
    </x:row>
    <x:row r="137">
      <x:c r="A137" s="38" t="str">
        <x:v>Core</x:v>
      </x:c>
      <x:c r="B137" s="51" t="str">
        <x:v>Mineral / Salt / Ash</x:v>
      </x:c>
      <x:c r="C137" s="51" t="str">
        <x:v>Uncommon</x:v>
      </x:c>
      <x:c r="D137" s="51" t="str">
        <x:v>Sunflint Powder</x:v>
      </x:c>
      <x:c r="E137" s="51" t="str"/>
      <x:c r="F137" s="51" t="str">
        <x:v>Craft DC -2; Duration +25%; Area / Range +50%</x:v>
      </x:c>
      <x:c r="G137" s="39" t="str">
        <x:v>Bright yellow stone powder that flashes when poured into sunlight. It feels gritty and warm, smelling of citrus peel and struck flint.</x:v>
      </x:c>
    </x:row>
    <x:row r="138">
      <x:c r="A138" s="38" t="str">
        <x:v>Core</x:v>
      </x:c>
      <x:c r="B138" s="51" t="str">
        <x:v>Mineral / Salt / Ash</x:v>
      </x:c>
      <x:c r="C138" s="51" t="str">
        <x:v>Rare</x:v>
      </x:c>
      <x:c r="D138" s="51" t="str">
        <x:v>Diamond Dust Salt</x:v>
      </x:c>
      <x:c r="E138" s="51" t="str"/>
      <x:c r="F138" s="51" t="str">
        <x:v>Craft DC -4; Duration +50%; +1 Extra Dose</x:v>
      </x:c>
      <x:c r="G138" s="39" t="str">
        <x:v>Glittering salt mixed with hard crystal dust. It scratches glass and smells cold, clean, and expensive.</x:v>
      </x:c>
    </x:row>
    <x:row r="139">
      <x:c r="A139" s="38" t="str">
        <x:v>Core</x:v>
      </x:c>
      <x:c r="B139" s="51" t="str">
        <x:v>Mineral / Salt / Ash</x:v>
      </x:c>
      <x:c r="C139" s="51" t="str">
        <x:v>Rare</x:v>
      </x:c>
      <x:c r="D139" s="51" t="str">
        <x:v>Echo Crystal Dust</x:v>
      </x:c>
      <x:c r="E139" s="51" t="str">
        <x:v>Deafness, Sound, Thunder</x:v>
      </x:c>
      <x:c r="F139" s="51" t="str">
        <x:v>Craft DC -4; Effect +50%; Area / Range +50%</x:v>
      </x:c>
      <x:c r="G139" s="39" t="str">
        <x:v>Powdered clear crystal that repeats nearby sounds as tiny chimes. It feels sharp but weightless and smells of cold air after thunder.</x:v>
      </x:c>
    </x:row>
    <x:row r="140">
      <x:c r="A140" s="38" t="str">
        <x:v>Core</x:v>
      </x:c>
      <x:c r="B140" s="51" t="str">
        <x:v>Mineral / Salt / Ash</x:v>
      </x:c>
      <x:c r="C140" s="51" t="str">
        <x:v>Rare</x:v>
      </x:c>
      <x:c r="D140" s="51" t="str">
        <x:v>Grave Ash</x:v>
      </x:c>
      <x:c r="E140" s="51" t="str">
        <x:v>Necrotic, Death</x:v>
      </x:c>
      <x:c r="F140" s="51" t="str">
        <x:v>Craft DC -4; Effect +50%; Save DC +1</x:v>
      </x:c>
      <x:c r="G140" s="39" t="str">
        <x:v>Pale gray ash that clumps in humid air. It smells of old stone, spent incense, and cold earth.</x:v>
      </x:c>
    </x:row>
    <x:row r="141">
      <x:c r="A141" s="38" t="str">
        <x:v>Core</x:v>
      </x:c>
      <x:c r="B141" s="51" t="str">
        <x:v>Mineral / Salt / Ash</x:v>
      </x:c>
      <x:c r="C141" s="51" t="str">
        <x:v>Rare</x:v>
      </x:c>
      <x:c r="D141" s="51" t="str">
        <x:v>Moonstone Powder</x:v>
      </x:c>
      <x:c r="E141" s="51" t="str"/>
      <x:c r="F141" s="51" t="str">
        <x:v>Craft DC -4; Duration +100%</x:v>
      </x:c>
      <x:c r="G141" s="39" t="str">
        <x:v>Pearl-white mineral powder that glows blue along its edges. It feels cool and slippery and smells of dust after rain.</x:v>
      </x:c>
    </x:row>
    <x:row r="142">
      <x:c r="A142" s="38" t="str">
        <x:v>Core</x:v>
      </x:c>
      <x:c r="B142" s="51" t="str">
        <x:v>Mineral / Salt / Ash</x:v>
      </x:c>
      <x:c r="C142" s="51" t="str">
        <x:v>Very Rare</x:v>
      </x:c>
      <x:c r="D142" s="51" t="str">
        <x:v>Celestial Salt</x:v>
      </x:c>
      <x:c r="E142" s="51" t="str"/>
      <x:c r="F142" s="51" t="str">
        <x:v>Craft DC -6; Duration +25%; Die step +1</x:v>
      </x:c>
      <x:c r="G142" s="39" t="str">
        <x:v>Opalescent crystals that cast tiny star-shaped reflections. They taste sweet before turning sharply saline and smell of ozone, incense, and clean snow.</x:v>
      </x:c>
    </x:row>
    <x:row r="143">
      <x:c r="A143" s="38" t="str">
        <x:v>Core</x:v>
      </x:c>
      <x:c r="B143" s="51" t="str">
        <x:v>Mineral / Salt / Ash</x:v>
      </x:c>
      <x:c r="C143" s="51" t="str">
        <x:v>Very Rare</x:v>
      </x:c>
      <x:c r="D143" s="51" t="str">
        <x:v>Eternity Salt</x:v>
      </x:c>
      <x:c r="E143" s="51" t="str"/>
      <x:c r="F143" s="51" t="str">
        <x:v>Craft DC -6; Duration +125%</x:v>
      </x:c>
      <x:c r="G143" s="39" t="str">
        <x:v>Large clear crystals with slow silver currents moving inside. They never dissolve completely and smell of deep caverns, winter air, and distant lightning.</x:v>
      </x:c>
    </x:row>
    <x:row r="144">
      <x:c r="A144" s="38" t="str">
        <x:v>Core</x:v>
      </x:c>
      <x:c r="B144" s="51" t="str">
        <x:v>Mineral / Salt / Ash</x:v>
      </x:c>
      <x:c r="C144" s="51" t="str">
        <x:v>Very Rare</x:v>
      </x:c>
      <x:c r="D144" s="51" t="str">
        <x:v>Prismatic Ash</x:v>
      </x:c>
      <x:c r="E144" s="51" t="str">
        <x:v>Force, Radiant</x:v>
      </x:c>
      <x:c r="F144" s="51" t="str">
        <x:v>Craft DC -6; Duration +25%; +3 Extra Doses</x:v>
      </x:c>
      <x:c r="G144" s="39" t="str">
        <x:v>Color-shifting ash that separates into rainbow layers when shaken. It smells clean, dry, and impossibly bright.</x:v>
      </x:c>
    </x:row>
    <x:row r="145">
      <x:c r="A145" s="38" t="str">
        <x:v>Core</x:v>
      </x:c>
      <x:c r="B145" s="51" t="str">
        <x:v>Mineral / Salt / Ash</x:v>
      </x:c>
      <x:c r="C145" s="51" t="str">
        <x:v>Very Rare</x:v>
      </x:c>
      <x:c r="D145" s="51" t="str">
        <x:v>Starfall Salt</x:v>
      </x:c>
      <x:c r="E145" s="51" t="str">
        <x:v>Petrification, Stone</x:v>
      </x:c>
      <x:c r="F145" s="51" t="str">
        <x:v>Craft DC -6; Duration +75%; Save DC +2</x:v>
      </x:c>
      <x:c r="G145" s="39" t="str">
        <x:v>Blue-white salt crystals that glow faintly in darkness. They smell of winter air and lightning over stone.</x:v>
      </x:c>
    </x:row>
    <x:row r="146">
      <x:c r="A146" s="38" t="str">
        <x:v>Core</x:v>
      </x:c>
      <x:c r="B146" s="51" t="str">
        <x:v>Venom / Poison Plant</x:v>
      </x:c>
      <x:c r="C146" s="51" t="str">
        <x:v>Common</x:v>
      </x:c>
      <x:c r="D146" s="51" t="str">
        <x:v>Bitterleaf</x:v>
      </x:c>
      <x:c r="E146" s="51" t="str"/>
      <x:c r="F146" s="51" t="str">
        <x:v>No Craft DC reduction; Effect +25%</x:v>
      </x:c>
      <x:c r="G146" s="39" t="str">
        <x:v>A dark green leaf with black veins and an acrid herbal bite. It smells bitter enough to sting the nose.</x:v>
      </x:c>
    </x:row>
    <x:row r="147">
      <x:c r="A147" s="38" t="str">
        <x:v>Core</x:v>
      </x:c>
      <x:c r="B147" s="51" t="str">
        <x:v>Venom / Poison Plant</x:v>
      </x:c>
      <x:c r="C147" s="51" t="str">
        <x:v>Common</x:v>
      </x:c>
      <x:c r="D147" s="51" t="str">
        <x:v>Bitterthorn Sap</x:v>
      </x:c>
      <x:c r="E147" s="51" t="str"/>
      <x:c r="F147" s="51" t="str">
        <x:v>No Craft DC reduction; Effect +25%</x:v>
      </x:c>
      <x:c r="G147" s="39" t="str">
        <x:v>Milky green sap collected from hooked thorns. It is tacky, intensely bitter, and smells of grapefruit rind, crushed nettles, and copper.</x:v>
      </x:c>
    </x:row>
    <x:row r="148">
      <x:c r="A148" s="38" t="str">
        <x:v>Core</x:v>
      </x:c>
      <x:c r="B148" s="51" t="str">
        <x:v>Venom / Poison Plant</x:v>
      </x:c>
      <x:c r="C148" s="51" t="str">
        <x:v>Common</x:v>
      </x:c>
      <x:c r="D148" s="51" t="str">
        <x:v>Itchreed</x:v>
      </x:c>
      <x:c r="E148" s="51" t="str"/>
      <x:c r="F148" s="51" t="str">
        <x:v>No Craft DC reduction; Duration +25%</x:v>
      </x:c>
      <x:c r="G148" s="39" t="str">
        <x:v>A yellow reed covered in nearly invisible hairs. It feels dry and papery, smells of cut hay and pepper, and raises an itchy welt on bare skin.</x:v>
      </x:c>
    </x:row>
    <x:row r="149">
      <x:c r="A149" s="38" t="str">
        <x:v>Core</x:v>
      </x:c>
      <x:c r="B149" s="51" t="str">
        <x:v>Venom / Poison Plant</x:v>
      </x:c>
      <x:c r="C149" s="51" t="str">
        <x:v>Common</x:v>
      </x:c>
      <x:c r="D149" s="51" t="str">
        <x:v>Sourbell</x:v>
      </x:c>
      <x:c r="E149" s="51" t="str"/>
      <x:c r="F149" s="51" t="str">
        <x:v>No Craft DC reduction; Effect +25%</x:v>
      </x:c>
      <x:c r="G149" s="39" t="str">
        <x:v>A drooping yellow-green flower with a swollen bell full of cloudy nectar. It smells sharply of vinegar, citrus rind, and bruised weeds.</x:v>
      </x:c>
    </x:row>
    <x:row r="150">
      <x:c r="A150" s="38" t="str">
        <x:v>Core</x:v>
      </x:c>
      <x:c r="B150" s="51" t="str">
        <x:v>Venom / Poison Plant</x:v>
      </x:c>
      <x:c r="C150" s="51" t="str">
        <x:v>Common</x:v>
      </x:c>
      <x:c r="D150" s="51" t="str">
        <x:v>Stingnettle</x:v>
      </x:c>
      <x:c r="E150" s="51" t="str"/>
      <x:c r="F150" s="51" t="str">
        <x:v>No Craft DC reduction; Duration +25%</x:v>
      </x:c>
      <x:c r="G150" s="39" t="str">
        <x:v>A low dark nettle covered in nearly invisible glass hairs. Brushing it leaves a hot numbness, and it smells of pepper, green sap, and copper.</x:v>
      </x:c>
    </x:row>
    <x:row r="151">
      <x:c r="A151" s="38" t="str">
        <x:v>Core</x:v>
      </x:c>
      <x:c r="B151" s="51" t="str">
        <x:v>Venom / Poison Plant</x:v>
      </x:c>
      <x:c r="C151" s="51" t="str">
        <x:v>Uncommon</x:v>
      </x:c>
      <x:c r="D151" s="51" t="str">
        <x:v>Ashfang Leaf</x:v>
      </x:c>
      <x:c r="E151" s="51" t="str"/>
      <x:c r="F151" s="51" t="str">
        <x:v>Craft DC -2; Effect +25%; Duration +50%</x:v>
      </x:c>
      <x:c r="G151" s="39" t="str">
        <x:v>A serrated gray leaf with black veins and a dry leathery feel. It smells of burnt tea and metal, leaving a sharp numbness on the tongue.</x:v>
      </x:c>
    </x:row>
    <x:row r="152">
      <x:c r="A152" s="38" t="str">
        <x:v>Core</x:v>
      </x:c>
      <x:c r="B152" s="51" t="str">
        <x:v>Venom / Poison Plant</x:v>
      </x:c>
      <x:c r="C152" s="51" t="str">
        <x:v>Uncommon</x:v>
      </x:c>
      <x:c r="D152" s="51" t="str">
        <x:v>Drowsevine</x:v>
      </x:c>
      <x:c r="E152" s="51" t="str"/>
      <x:c r="F152" s="51" t="str">
        <x:v>Craft DC -2; Effect +50%; Duration +25%</x:v>
      </x:c>
      <x:c r="G152" s="39" t="str">
        <x:v>A purple vine with soft fuzzy leaves that curl around warm objects. Its scent is sweet and heavy, like overripe berries and poppy smoke.</x:v>
      </x:c>
    </x:row>
    <x:row r="153">
      <x:c r="A153" s="38" t="str">
        <x:v>Core</x:v>
      </x:c>
      <x:c r="B153" s="51" t="str">
        <x:v>Venom / Poison Plant</x:v>
      </x:c>
      <x:c r="C153" s="51" t="str">
        <x:v>Uncommon</x:v>
      </x:c>
      <x:c r="D153" s="51" t="str">
        <x:v>Sleepnettle</x:v>
      </x:c>
      <x:c r="E153" s="51" t="str"/>
      <x:c r="F153" s="51" t="str">
        <x:v>Craft DC -2; Duration +25%; Save DC +1</x:v>
      </x:c>
      <x:c r="G153" s="39" t="str">
        <x:v>A soft violet nettle whose hairs droop at dusk. It smells of lavender and sour grass, and contact leaves the fingers heavy and slow.</x:v>
      </x:c>
    </x:row>
    <x:row r="154">
      <x:c r="A154" s="38" t="str">
        <x:v>Core</x:v>
      </x:c>
      <x:c r="B154" s="51" t="str">
        <x:v>Venom / Poison Plant</x:v>
      </x:c>
      <x:c r="C154" s="51" t="str">
        <x:v>Uncommon</x:v>
      </x:c>
      <x:c r="D154" s="51" t="str">
        <x:v>Venomkiss Nettle</x:v>
      </x:c>
      <x:c r="E154" s="51" t="str"/>
      <x:c r="F154" s="51" t="str">
        <x:v>Craft DC -2; Effect +75%</x:v>
      </x:c>
      <x:c r="G154" s="39" t="str">
        <x:v>A nettle with red hairs that twitch when warmed. It smells of crushed greens, pepper, and venom sacs.</x:v>
      </x:c>
    </x:row>
    <x:row r="155">
      <x:c r="A155" s="38" t="str">
        <x:v>Core</x:v>
      </x:c>
      <x:c r="B155" s="51" t="str">
        <x:v>Venom / Poison Plant</x:v>
      </x:c>
      <x:c r="C155" s="51" t="str">
        <x:v>Uncommon</x:v>
      </x:c>
      <x:c r="D155" s="51" t="str">
        <x:v>Widowshade</x:v>
      </x:c>
      <x:c r="E155" s="51" t="str"/>
      <x:c r="F155" s="51" t="str">
        <x:v>Craft DC -2; Effect +25%; Save DC +1</x:v>
      </x:c>
      <x:c r="G155" s="39" t="str">
        <x:v>A drooping purple-black sprig with glossy leaves. Its scent is sweet at first, then metallic and cold.</x:v>
      </x:c>
    </x:row>
    <x:row r="156">
      <x:c r="A156" s="38" t="str">
        <x:v>Core</x:v>
      </x:c>
      <x:c r="B156" s="51" t="str">
        <x:v>Venom / Poison Plant</x:v>
      </x:c>
      <x:c r="C156" s="51" t="str">
        <x:v>Rare</x:v>
      </x:c>
      <x:c r="D156" s="51" t="str">
        <x:v>Longsting Root</x:v>
      </x:c>
      <x:c r="E156" s="51" t="str"/>
      <x:c r="F156" s="51" t="str">
        <x:v>Craft DC -4; Effect +50%; Duration +50%</x:v>
      </x:c>
      <x:c r="G156" s="39" t="str">
        <x:v>A narrow black root with a bright white core that numbs the knife used to cut it. It smells of licorice, wet iron, and bitter medicine.</x:v>
      </x:c>
    </x:row>
    <x:row r="157">
      <x:c r="A157" s="38" t="str">
        <x:v>Core</x:v>
      </x:c>
      <x:c r="B157" s="51" t="str">
        <x:v>Venom / Poison Plant</x:v>
      </x:c>
      <x:c r="C157" s="51" t="str">
        <x:v>Rare</x:v>
      </x:c>
      <x:c r="D157" s="51" t="str">
        <x:v>Nightfang Cap</x:v>
      </x:c>
      <x:c r="E157" s="51" t="str">
        <x:v>Poison, Venom, Paralysis</x:v>
      </x:c>
      <x:c r="F157" s="51" t="str">
        <x:v>Craft DC -4; Die step +1</x:v>
      </x:c>
      <x:c r="G157" s="39" t="str">
        <x:v>A black mushroom cap with toothlike white ridges underneath. It smells of damp leather and sour metal.</x:v>
      </x:c>
    </x:row>
    <x:row r="158">
      <x:c r="A158" s="38" t="str">
        <x:v>Core</x:v>
      </x:c>
      <x:c r="B158" s="51" t="str">
        <x:v>Venom / Poison Plant</x:v>
      </x:c>
      <x:c r="C158" s="51" t="str">
        <x:v>Rare</x:v>
      </x:c>
      <x:c r="D158" s="51" t="str">
        <x:v>Purple Ichor Bloom</x:v>
      </x:c>
      <x:c r="E158" s="51" t="str"/>
      <x:c r="F158" s="51" t="str">
        <x:v>Craft DC -4; Effect +100%</x:v>
      </x:c>
      <x:c r="G158" s="39" t="str">
        <x:v>A bruised purple flower that seeps dark nectar. It smells sweet, rotten, and alchemically sharp.</x:v>
      </x:c>
    </x:row>
    <x:row r="159">
      <x:c r="A159" s="38" t="str">
        <x:v>Core</x:v>
      </x:c>
      <x:c r="B159" s="51" t="str">
        <x:v>Venom / Poison Plant</x:v>
      </x:c>
      <x:c r="C159" s="51" t="str">
        <x:v>Rare</x:v>
      </x:c>
      <x:c r="D159" s="51" t="str">
        <x:v>Widow's Crown Bloom</x:v>
      </x:c>
      <x:c r="E159" s="51" t="str"/>
      <x:c r="F159" s="51" t="str">
        <x:v>Craft DC -4; Duration +50%; Save DC +1</x:v>
      </x:c>
      <x:c r="G159" s="39" t="str">
        <x:v>A black flower ringed by crimson hook-shaped petals. It smells of overripe fruit and iron, and its sticky pollen makes the pulse flutter.</x:v>
      </x:c>
    </x:row>
    <x:row r="160">
      <x:c r="A160" s="38" t="str">
        <x:v>Core</x:v>
      </x:c>
      <x:c r="B160" s="51" t="str">
        <x:v>Venom / Poison Plant</x:v>
      </x:c>
      <x:c r="C160" s="51" t="str">
        <x:v>Very Rare</x:v>
      </x:c>
      <x:c r="D160" s="51" t="str">
        <x:v>Black Lotus Venom</x:v>
      </x:c>
      <x:c r="E160" s="51" t="str"/>
      <x:c r="F160" s="51" t="str">
        <x:v>Craft DC -6; Effect +125%</x:v>
      </x:c>
      <x:c r="G160" s="39" t="str">
        <x:v>A black lotus distillate in thick glossy drops. It smells floral, poisonous, and almost hypnotic.</x:v>
      </x:c>
    </x:row>
    <x:row r="161">
      <x:c r="A161" s="38" t="str">
        <x:v>Core</x:v>
      </x:c>
      <x:c r="B161" s="51" t="str">
        <x:v>Venom / Poison Plant</x:v>
      </x:c>
      <x:c r="C161" s="51" t="str">
        <x:v>Very Rare</x:v>
      </x:c>
      <x:c r="D161" s="51" t="str">
        <x:v>Medusa Orchid</x:v>
      </x:c>
      <x:c r="E161" s="51" t="str">
        <x:v>Petrification, Stone</x:v>
      </x:c>
      <x:c r="F161" s="51" t="str">
        <x:v>Craft DC -6; Effect +25%; Save DC +3</x:v>
      </x:c>
      <x:c r="G161" s="39" t="str">
        <x:v>A green-gold orchid whose petals resemble tiny coiling serpents. It feels cold and waxy, smells of stone dust and bitter perfume, and stiffens insects that touch its nectar.</x:v>
      </x:c>
    </x:row>
    <x:row r="162">
      <x:c r="A162" s="38" t="str">
        <x:v>Core</x:v>
      </x:c>
      <x:c r="B162" s="51" t="str">
        <x:v>Venom / Poison Plant</x:v>
      </x:c>
      <x:c r="C162" s="51" t="str">
        <x:v>Very Rare</x:v>
      </x:c>
      <x:c r="D162" s="51" t="str">
        <x:v>Queen Asp Bloom</x:v>
      </x:c>
      <x:c r="E162" s="51" t="str"/>
      <x:c r="F162" s="51" t="str">
        <x:v>Craft DC -6; Effect +25%; Die step +1</x:v>
      </x:c>
      <x:c r="G162" s="39" t="str">
        <x:v>A black-and-gold flower whose central petals resemble a coiled serpent. Its pollen prickles the skin and smells of jasmine, venom, and hot stone.</x:v>
      </x:c>
    </x:row>
    <x:row r="163">
      <x:c r="A163" s="38" t="str">
        <x:v>Core</x:v>
      </x:c>
      <x:c r="B163" s="51" t="str">
        <x:v>Venom / Poison Plant</x:v>
      </x:c>
      <x:c r="C163" s="51" t="str">
        <x:v>Very Rare</x:v>
      </x:c>
      <x:c r="D163" s="51" t="str">
        <x:v>Wormwood Queen</x:v>
      </x:c>
      <x:c r="E163" s="51" t="str"/>
      <x:c r="F163" s="51" t="str">
        <x:v>Craft DC -6; Effect +75%; Save DC +2</x:v>
      </x:c>
      <x:c r="G163" s="39" t="str">
        <x:v>A tall silver-green wormwood crown with bitter pollen. It smells medicinal, royal, and dangerously clean.</x:v>
      </x:c>
    </x:row>
    <x:row r="164">
      <x:c r="A164" s="38" t="str">
        <x:v>Fourth Slot</x:v>
      </x:c>
      <x:c r="B164" s="51" t="str">
        <x:v>Essence</x:v>
      </x:c>
      <x:c r="C164" s="51" t="str">
        <x:v>Uncommon</x:v>
      </x:c>
      <x:c r="D164" s="51" t="str">
        <x:v>Acidic Essence</x:v>
      </x:c>
      <x:c r="E164" s="51" t="str">
        <x:v>Acid</x:v>
      </x:c>
      <x:c r="F164" s="51" t="str"/>
      <x:c r="G164" s="39" t="str">
        <x:v>A yellow-green essence that etches faint rings in cheap glass. It smells sour, sharp, and mineral.</x:v>
      </x:c>
    </x:row>
    <x:row r="165">
      <x:c r="A165" s="38" t="str">
        <x:v>Fourth Slot</x:v>
      </x:c>
      <x:c r="B165" s="51" t="str">
        <x:v>Essence</x:v>
      </x:c>
      <x:c r="C165" s="51" t="str">
        <x:v>Uncommon</x:v>
      </x:c>
      <x:c r="D165" s="51" t="str">
        <x:v>Fire Essence</x:v>
      </x:c>
      <x:c r="E165" s="51" t="str">
        <x:v>Fire</x:v>
      </x:c>
      <x:c r="F165" s="51" t="str"/>
      <x:c r="G165" s="39" t="str">
        <x:v>A red-orange essence that flickers inside the vial like a banked coal. It smells of hot iron, ash, and pepper smoke.</x:v>
      </x:c>
    </x:row>
    <x:row r="166">
      <x:c r="A166" s="38" t="str">
        <x:v>Fourth Slot</x:v>
      </x:c>
      <x:c r="B166" s="51" t="str">
        <x:v>Essence</x:v>
      </x:c>
      <x:c r="C166" s="51" t="str">
        <x:v>Uncommon</x:v>
      </x:c>
      <x:c r="D166" s="51" t="str">
        <x:v>Frost Essence</x:v>
      </x:c>
      <x:c r="E166" s="51" t="str">
        <x:v>Cold</x:v>
      </x:c>
      <x:c r="F166" s="51" t="str"/>
      <x:c r="G166" s="39" t="str">
        <x:v>A pale blue essence rimed with frost even in summer. The glass sweats cold and smells of snow and mint.</x:v>
      </x:c>
    </x:row>
    <x:row r="167">
      <x:c r="A167" s="38" t="str">
        <x:v>Fourth Slot</x:v>
      </x:c>
      <x:c r="B167" s="51" t="str">
        <x:v>Essence</x:v>
      </x:c>
      <x:c r="C167" s="51" t="str">
        <x:v>Rare</x:v>
      </x:c>
      <x:c r="D167" s="51" t="str">
        <x:v>Grave Essence</x:v>
      </x:c>
      <x:c r="E167" s="51" t="str">
        <x:v>Necrotic, Death</x:v>
      </x:c>
      <x:c r="F167" s="51" t="str">
        <x:v>Save DC +1</x:v>
      </x:c>
      <x:c r="G167" s="39" t="str">
        <x:v>A smoky gray essence that sinks to the bottom of any mixture. It smells of cold stone and spent incense.</x:v>
      </x:c>
    </x:row>
    <x:row r="168">
      <x:c r="A168" s="38" t="str">
        <x:v>Fourth Slot</x:v>
      </x:c>
      <x:c r="B168" s="51" t="str">
        <x:v>Essence</x:v>
      </x:c>
      <x:c r="C168" s="51" t="str">
        <x:v>Rare</x:v>
      </x:c>
      <x:c r="D168" s="51" t="str">
        <x:v>Mindshard Distillate</x:v>
      </x:c>
      <x:c r="E168" s="51" t="str">
        <x:v>Psychic, Confusion, Mind</x:v>
      </x:c>
      <x:c r="F168" s="51" t="str">
        <x:v>Save DC +1</x:v>
      </x:c>
      <x:c r="G168" s="39" t="str">
        <x:v>A violet liquid holding tiny mirrored flakes that turn toward nearby thoughts. It tastes metallic, smells of ozone and ink, and makes reflected faces seem unfamiliar.</x:v>
      </x:c>
    </x:row>
    <x:row r="169">
      <x:c r="A169" s="38" t="str">
        <x:v>Fourth Slot</x:v>
      </x:c>
      <x:c r="B169" s="51" t="str">
        <x:v>Essence</x:v>
      </x:c>
      <x:c r="C169" s="51" t="str">
        <x:v>Rare</x:v>
      </x:c>
      <x:c r="D169" s="51" t="str">
        <x:v>Psychic Essence</x:v>
      </x:c>
      <x:c r="E169" s="51" t="str">
        <x:v>Psychic, Mind</x:v>
      </x:c>
      <x:c r="F169" s="51" t="str">
        <x:v>Save DC +1</x:v>
      </x:c>
      <x:c r="G169" s="39" t="str">
        <x:v>A clear violet essence that seems to move when unobserved. It smells faintly of lavender and old ink.</x:v>
      </x:c>
    </x:row>
    <x:row r="170">
      <x:c r="A170" s="38" t="str">
        <x:v>Fourth Slot</x:v>
      </x:c>
      <x:c r="B170" s="51" t="str">
        <x:v>Essence</x:v>
      </x:c>
      <x:c r="C170" s="51" t="str">
        <x:v>Rare</x:v>
      </x:c>
      <x:c r="D170" s="51" t="str">
        <x:v>Radiant Essence</x:v>
      </x:c>
      <x:c r="E170" s="51" t="str">
        <x:v>Radiant, Holy</x:v>
      </x:c>
      <x:c r="F170" s="51" t="str">
        <x:v>Effect +25%</x:v>
      </x:c>
      <x:c r="G170" s="39" t="str">
        <x:v>A warm golden essence that brightens nearby liquid. It smells of sunlit linen, wax, and clean air.</x:v>
      </x:c>
    </x:row>
    <x:row r="171">
      <x:c r="A171" s="38" t="str">
        <x:v>Fourth Slot</x:v>
      </x:c>
      <x:c r="B171" s="51" t="str">
        <x:v>Essence</x:v>
      </x:c>
      <x:c r="C171" s="51" t="str">
        <x:v>Rare</x:v>
      </x:c>
      <x:c r="D171" s="51" t="str">
        <x:v>Storm Essence</x:v>
      </x:c>
      <x:c r="E171" s="51" t="str">
        <x:v>Lightning, Thunder</x:v>
      </x:c>
      <x:c r="F171" s="51" t="str">
        <x:v>Die step +1</x:v>
      </x:c>
      <x:c r="G171" s="39" t="str">
        <x:v>A violet-blue essence crawling with tiny sparks. It hums softly and smells of rain striking metal.</x:v>
      </x:c>
    </x:row>
    <x:row r="172">
      <x:c r="A172" s="38" t="str">
        <x:v>Fourth Slot</x:v>
      </x:c>
      <x:c r="B172" s="51" t="str">
        <x:v>Essence</x:v>
      </x:c>
      <x:c r="C172" s="51" t="str">
        <x:v>Very Rare</x:v>
      </x:c>
      <x:c r="D172" s="51" t="str">
        <x:v>Force Shard</x:v>
      </x:c>
      <x:c r="E172" s="51" t="str">
        <x:v>Force</x:v>
      </x:c>
      <x:c r="F172" s="51" t="str">
        <x:v>Die step +1</x:v>
      </x:c>
      <x:c r="G172" s="39" t="str">
        <x:v>A hard translucent shard suspended in clear fluid. It clicks against the vial without touching the glass.</x:v>
      </x:c>
    </x:row>
    <x:row r="173">
      <x:c r="A173" s="38" t="str">
        <x:v>Fourth Slot</x:v>
      </x:c>
      <x:c r="B173" s="51" t="str">
        <x:v>Enhancer / Catalyst</x:v>
      </x:c>
      <x:c r="C173" s="51" t="str">
        <x:v>Uncommon</x:v>
      </x:c>
      <x:c r="D173" s="51" t="str">
        <x:v>Binding Agent</x:v>
      </x:c>
      <x:c r="E173" s="51" t="str">
        <x:v>Binding, Restraint</x:v>
      </x:c>
      <x:c r="F173" s="51" t="str">
        <x:v>Duration +50%</x:v>
      </x:c>
      <x:c r="G173" s="39" t="str">
        <x:v>A thick blue binder that slows every swirl in the beaker. It smells of clay, wax, and powdered chalk.</x:v>
      </x:c>
    </x:row>
    <x:row r="174">
      <x:c r="A174" s="38" t="str">
        <x:v>Fourth Slot</x:v>
      </x:c>
      <x:c r="B174" s="51" t="str">
        <x:v>Enhancer / Catalyst</x:v>
      </x:c>
      <x:c r="C174" s="51" t="str">
        <x:v>Uncommon</x:v>
      </x:c>
      <x:c r="D174" s="51" t="str">
        <x:v>Clear-Eye Distillate</x:v>
      </x:c>
      <x:c r="E174" s="51" t="str">
        <x:v>Blindness</x:v>
      </x:c>
      <x:c r="F174" s="51" t="str"/>
      <x:c r="G174" s="39" t="str">
        <x:v>A colorless distillate that flashes silver when held to the light. It smells of clean rain and crushed mint, and leaves the tongue cool and sharply focused.</x:v>
      </x:c>
    </x:row>
    <x:row r="175">
      <x:c r="A175" s="38" t="str">
        <x:v>Fourth Slot</x:v>
      </x:c>
      <x:c r="B175" s="51" t="str">
        <x:v>Enhancer / Catalyst</x:v>
      </x:c>
      <x:c r="C175" s="51" t="str">
        <x:v>Uncommon</x:v>
      </x:c>
      <x:c r="D175" s="51" t="str">
        <x:v>Distillation Agent</x:v>
      </x:c>
      <x:c r="E175" s="51" t="str"/>
      <x:c r="F175" s="51" t="str">
        <x:v>+1 Extra Dose</x:v>
      </x:c>
      <x:c r="G175" s="39" t="str">
        <x:v>A bright additive with tiny bubbles that climb upward forever. It smells of alcohol, copper, and hot glass.</x:v>
      </x:c>
    </x:row>
    <x:row r="176">
      <x:c r="A176" s="38" t="str">
        <x:v>Fourth Slot</x:v>
      </x:c>
      <x:c r="B176" s="51" t="str">
        <x:v>Enhancer / Catalyst</x:v>
      </x:c>
      <x:c r="C176" s="51" t="str">
        <x:v>Uncommon</x:v>
      </x:c>
      <x:c r="D176" s="51" t="str">
        <x:v>Heartward Counteragent</x:v>
      </x:c>
      <x:c r="E176" s="51" t="str">
        <x:v>Charm</x:v>
      </x:c>
      <x:c r="F176" s="51" t="str"/>
      <x:c r="G176" s="39" t="str">
        <x:v>A rose-gold syrup that beads instead of running. It smells of cedar, bitter orange, and warm wax, and leaves a steadying warmth behind the breastbone.</x:v>
      </x:c>
    </x:row>
    <x:row r="177">
      <x:c r="A177" s="38" t="str">
        <x:v>Fourth Slot</x:v>
      </x:c>
      <x:c r="B177" s="51" t="str">
        <x:v>Enhancer / Catalyst</x:v>
      </x:c>
      <x:c r="C177" s="51" t="str">
        <x:v>Uncommon</x:v>
      </x:c>
      <x:c r="D177" s="51" t="str">
        <x:v>Lionheart Catalyst</x:v>
      </x:c>
      <x:c r="E177" s="51" t="str">
        <x:v>Fear</x:v>
      </x:c>
      <x:c r="F177" s="51" t="str"/>
      <x:c r="G177" s="39" t="str">
        <x:v>A bright amber powder that crackles softly between the fingers. It smells of sun-warmed grass, pepper, and iron, and tastes intensely hot without burning.</x:v>
      </x:c>
    </x:row>
    <x:row r="178">
      <x:c r="A178" s="38" t="str">
        <x:v>Fourth Slot</x:v>
      </x:c>
      <x:c r="B178" s="51" t="str">
        <x:v>Enhancer / Catalyst</x:v>
      </x:c>
      <x:c r="C178" s="51" t="str">
        <x:v>Uncommon</x:v>
      </x:c>
      <x:c r="D178" s="51" t="str">
        <x:v>Mindanchor Tincture</x:v>
      </x:c>
      <x:c r="E178" s="51" t="str">
        <x:v>Confusion</x:v>
      </x:c>
      <x:c r="F178" s="51" t="str"/>
      <x:c r="G178" s="39" t="str">
        <x:v>A violet tincture with tiny crystal motes that align when the vial is still. It smells of rosemary, old paper, and cold stone.</x:v>
      </x:c>
    </x:row>
    <x:row r="179">
      <x:c r="A179" s="38" t="str">
        <x:v>Fourth Slot</x:v>
      </x:c>
      <x:c r="B179" s="51" t="str">
        <x:v>Enhancer / Catalyst</x:v>
      </x:c>
      <x:c r="C179" s="51" t="str">
        <x:v>Uncommon</x:v>
      </x:c>
      <x:c r="D179" s="51" t="str">
        <x:v>Purity Counteragent</x:v>
      </x:c>
      <x:c r="E179" s="51" t="str">
        <x:v>Poison</x:v>
      </x:c>
      <x:c r="F179" s="51" t="str"/>
      <x:c r="G179" s="39" t="str">
        <x:v>A clear green concentrate with a clean bitter scent of pine needles, salt, and cut citrus. A single drop turns cloudy near common toxins.</x:v>
      </x:c>
    </x:row>
    <x:row r="180">
      <x:c r="A180" s="38" t="str">
        <x:v>Fourth Slot</x:v>
      </x:c>
      <x:c r="B180" s="51" t="str">
        <x:v>Enhancer / Catalyst</x:v>
      </x:c>
      <x:c r="C180" s="51" t="str">
        <x:v>Rare</x:v>
      </x:c>
      <x:c r="D180" s="51" t="str">
        <x:v>Concentrating Agent</x:v>
      </x:c>
      <x:c r="E180" s="51" t="str"/>
      <x:c r="F180" s="51" t="str">
        <x:v>Effect +50%</x:v>
      </x:c>
      <x:c r="G180" s="39" t="str">
        <x:v>A dark drop that pulls color toward itself in a mixture. It smells bitter, hot, and focused.</x:v>
      </x:c>
    </x:row>
    <x:row r="181">
      <x:c r="A181" s="38" t="str">
        <x:v>Fourth Slot</x:v>
      </x:c>
      <x:c r="B181" s="51" t="str">
        <x:v>Enhancer / Catalyst</x:v>
      </x:c>
      <x:c r="C181" s="51" t="str">
        <x:v>Rare</x:v>
      </x:c>
      <x:c r="D181" s="51" t="str">
        <x:v>Freedom Resin</x:v>
      </x:c>
      <x:c r="E181" s="51" t="str">
        <x:v>Restraint</x:v>
      </x:c>
      <x:c r="F181" s="51" t="str"/>
      <x:c r="G181" s="39" t="str">
        <x:v>A slippery silver resin that refuses to cling to knots or rough surfaces. It smells of river reeds, soaproot, and cold wind.</x:v>
      </x:c>
    </x:row>
    <x:row r="182">
      <x:c r="A182" s="38" t="str">
        <x:v>Fourth Slot</x:v>
      </x:c>
      <x:c r="B182" s="51" t="str">
        <x:v>Enhancer / Catalyst</x:v>
      </x:c>
      <x:c r="C182" s="51" t="str">
        <x:v>Rare</x:v>
      </x:c>
      <x:c r="D182" s="51" t="str">
        <x:v>Nervewake Serum</x:v>
      </x:c>
      <x:c r="E182" s="51" t="str">
        <x:v>Paralysis</x:v>
      </x:c>
      <x:c r="F182" s="51" t="str"/>
      <x:c r="G182" s="39" t="str">
        <x:v>A pale blue serum that crawls up glass in branching lines. It smells of rain, copper, and sharp herbs, and tingles against the skin.</x:v>
      </x:c>
    </x:row>
    <x:row r="183">
      <x:c r="A183" s="38" t="str">
        <x:v>Fourth Slot</x:v>
      </x:c>
      <x:c r="B183" s="51" t="str">
        <x:v>Enhancer / Catalyst</x:v>
      </x:c>
      <x:c r="C183" s="51" t="str">
        <x:v>Rare</x:v>
      </x:c>
      <x:c r="D183" s="51" t="str">
        <x:v>Pure Catalyst</x:v>
      </x:c>
      <x:c r="E183" s="51" t="str"/>
      <x:c r="F183" s="51" t="str"/>
      <x:c r="G183" s="39" t="str">
        <x:v>A perfectly clear catalyst that makes nearby mixtures settle into clean layers. It smells sterile and sharp.</x:v>
      </x:c>
    </x:row>
    <x:row r="184">
      <x:c r="A184" s="38" t="str">
        <x:v>Fourth Slot</x:v>
      </x:c>
      <x:c r="B184" s="51" t="str">
        <x:v>Enhancer / Catalyst</x:v>
      </x:c>
      <x:c r="C184" s="51" t="str">
        <x:v>Rare</x:v>
      </x:c>
      <x:c r="D184" s="51" t="str">
        <x:v>Stormground Serum</x:v>
      </x:c>
      <x:c r="E184" s="51" t="str">
        <x:v>Stunning</x:v>
      </x:c>
      <x:c r="F184" s="51" t="str"/>
      <x:c r="G184" s="39" t="str">
        <x:v>A smoky gray serum with blue sparks that vanish when touched. It smells of ozone, wet earth, and bitter tea.</x:v>
      </x:c>
    </x:row>
    <x:row r="185">
      <x:c r="A185" s="38" t="str">
        <x:v>Fourth Slot</x:v>
      </x:c>
      <x:c r="B185" s="51" t="str">
        <x:v>Enhancer / Catalyst</x:v>
      </x:c>
      <x:c r="C185" s="51" t="str">
        <x:v>Rare</x:v>
      </x:c>
      <x:c r="D185" s="51" t="str">
        <x:v>Volatile Agent</x:v>
      </x:c>
      <x:c r="E185" s="51" t="str"/>
      <x:c r="F185" s="51" t="str">
        <x:v>Die step +1</x:v>
      </x:c>
      <x:c r="G185" s="39" t="str">
        <x:v>A sealed red-black additive that ticks softly when shaken. It smells of sulfur, oil, and scorched metal.</x:v>
      </x:c>
    </x:row>
    <x:row r="186">
      <x:c r="A186" s="38" t="str">
        <x:v>Fourth Slot</x:v>
      </x:c>
      <x:c r="B186" s="51" t="str">
        <x:v>Enhancer / Catalyst</x:v>
      </x:c>
      <x:c r="C186" s="51" t="str">
        <x:v>Very Rare</x:v>
      </x:c>
      <x:c r="D186" s="51" t="str">
        <x:v>Stonebreaker Solvent</x:v>
      </x:c>
      <x:c r="E186" s="51" t="str">
        <x:v>Petrification</x:v>
      </x:c>
      <x:c r="F186" s="51" t="str"/>
      <x:c r="G186" s="39" t="str">
        <x:v>A pearlescent solvent that makes mineral dust hiss and loosen. It smells of lightning-struck stone, vinegar, and white flowers.</x:v>
      </x:c>
    </x:row>
    <x:row r="187">
      <x:c r="A187" s="38" t="str">
        <x:v>Fourth Slot</x:v>
      </x:c>
      <x:c r="B187" s="51" t="str">
        <x:v>Holy Component</x:v>
      </x:c>
      <x:c r="C187" s="51" t="str">
        <x:v>Rare</x:v>
      </x:c>
      <x:c r="D187" s="51" t="str">
        <x:v>Holy Component</x:v>
      </x:c>
      <x:c r="E187" s="51" t="str">
        <x:v>Radiant, Holy</x:v>
      </x:c>
      <x:c r="F187" s="51" t="str">
        <x:v>Die step +1</x:v>
      </x:c>
      <x:c r="G187" s="39" t="str">
        <x:v>A blessed white-gold component wrapped in clean cloth. It smells of spring water, candle wax, and temple herbs.</x:v>
      </x:c>
    </x:row>
    <x:row r="188">
      <x:c r="A188" s="38" t="str">
        <x:v>Fourth Slot</x:v>
      </x:c>
      <x:c r="B188" s="51" t="str">
        <x:v>Holy Component</x:v>
      </x:c>
      <x:c r="C188" s="51" t="str">
        <x:v>Very Rare</x:v>
      </x:c>
      <x:c r="D188" s="51" t="str">
        <x:v>Greater Holy Component</x:v>
      </x:c>
      <x:c r="E188" s="51" t="str">
        <x:v>Radiant, Holy</x:v>
      </x:c>
      <x:c r="F188" s="51" t="str">
        <x:v>Die step +2</x:v>
      </x:c>
      <x:c r="G188" s="39" t="str">
        <x:v>A luminous sacred component that warms the hand through the vial. It leaves a golden trail when stirred.</x:v>
      </x:c>
    </x:row>
    <x:row r="189">
      <x:c r="A189" s="38" t="str">
        <x:v>Fourth Slot</x:v>
      </x:c>
      <x:c r="B189" s="51" t="str">
        <x:v>Monster Parts</x:v>
      </x:c>
      <x:c r="C189" s="51" t="str">
        <x:v>Uncommon</x:v>
      </x:c>
      <x:c r="D189" s="51" t="str">
        <x:v>Acid Gland</x:v>
      </x:c>
      <x:c r="E189" s="51" t="str">
        <x:v>Acid</x:v>
      </x:c>
      <x:c r="F189" s="51" t="str">
        <x:v>Effect +25%</x:v>
      </x:c>
      <x:c r="G189" s="39" t="str">
        <x:v>A translucent yellow gland that beads sour vapor along its surface. It feels rubbery, smells of vinegar and wet stone, and lightly pits cheap metal.</x:v>
      </x:c>
    </x:row>
    <x:row r="190">
      <x:c r="A190" s="38" t="str">
        <x:v>Fourth Slot</x:v>
      </x:c>
      <x:c r="B190" s="51" t="str">
        <x:v>Monster Parts</x:v>
      </x:c>
      <x:c r="C190" s="51" t="str">
        <x:v>Uncommon</x:v>
      </x:c>
      <x:c r="D190" s="51" t="str">
        <x:v>Carrion Spore Sac</x:v>
      </x:c>
      <x:c r="E190" s="51" t="str">
        <x:v>Poison, Venom</x:v>
      </x:c>
      <x:c r="F190" s="51" t="str"/>
      <x:c r="G190" s="39" t="str">
        <x:v>A soft olive sac filled with oily brown spores. It smells of spoiled fruit, wet feathers, and vinegar, and leaves the skin clammy through gloves.</x:v>
      </x:c>
    </x:row>
    <x:row r="191">
      <x:c r="A191" s="38" t="str">
        <x:v>Fourth Slot</x:v>
      </x:c>
      <x:c r="B191" s="51" t="str">
        <x:v>Monster Parts</x:v>
      </x:c>
      <x:c r="C191" s="51" t="str">
        <x:v>Uncommon</x:v>
      </x:c>
      <x:c r="D191" s="51" t="str">
        <x:v>Corrosive Motes</x:v>
      </x:c>
      <x:c r="E191" s="51" t="str">
        <x:v>Acid</x:v>
      </x:c>
      <x:c r="F191" s="51" t="str">
        <x:v>Duration +25%</x:v>
      </x:c>
      <x:c r="G191" s="39" t="str">
        <x:v>Green-gold motes drift in a sealed ampoule and cling to glass like pollen. They smell sharp, mineral, and faintly metallic.</x:v>
      </x:c>
    </x:row>
    <x:row r="192">
      <x:c r="A192" s="38" t="str">
        <x:v>Fourth Slot</x:v>
      </x:c>
      <x:c r="B192" s="51" t="str">
        <x:v>Monster Parts</x:v>
      </x:c>
      <x:c r="C192" s="51" t="str">
        <x:v>Uncommon</x:v>
      </x:c>
      <x:c r="D192" s="51" t="str">
        <x:v>Echo Gland</x:v>
      </x:c>
      <x:c r="E192" s="51" t="str">
        <x:v>Deafness, Sound</x:v>
      </x:c>
      <x:c r="F192" s="51" t="str">
        <x:v>Duration +25%</x:v>
      </x:c>
      <x:c r="G192" s="39" t="str">
        <x:v>A pale folded gland repeats muffled sounds several heartbeats late. It feels waxy and smells of salt, stone halls, and rain.</x:v>
      </x:c>
    </x:row>
    <x:row r="193">
      <x:c r="A193" s="38" t="str">
        <x:v>Fourth Slot</x:v>
      </x:c>
      <x:c r="B193" s="51" t="str">
        <x:v>Monster Parts</x:v>
      </x:c>
      <x:c r="C193" s="51" t="str">
        <x:v>Uncommon</x:v>
      </x:c>
      <x:c r="D193" s="51" t="str">
        <x:v>Ember Motes</x:v>
      </x:c>
      <x:c r="E193" s="51" t="str">
        <x:v>Fire</x:v>
      </x:c>
      <x:c r="F193" s="51" t="str">
        <x:v>Effect +25%</x:v>
      </x:c>
      <x:c r="G193" s="39" t="str">
        <x:v>Orange sparks drift inside a blackened vial without consuming the stopper. They smell of hot iron, cedar smoke, and pepper.</x:v>
      </x:c>
    </x:row>
    <x:row r="194">
      <x:c r="A194" s="38" t="str">
        <x:v>Fourth Slot</x:v>
      </x:c>
      <x:c r="B194" s="51" t="str">
        <x:v>Monster Parts</x:v>
      </x:c>
      <x:c r="C194" s="51" t="str">
        <x:v>Uncommon</x:v>
      </x:c>
      <x:c r="D194" s="51" t="str">
        <x:v>Eye-Dimming Motes</x:v>
      </x:c>
      <x:c r="E194" s="51" t="str">
        <x:v>Blindness, Sight</x:v>
      </x:c>
      <x:c r="F194" s="51" t="str">
        <x:v>Duration +25%</x:v>
      </x:c>
      <x:c r="G194" s="39" t="str">
        <x:v>Smoky motes gather around reflections and dull bright colors. They feel powder-dry and smell of charcoal, dust, and bitter herbs.</x:v>
      </x:c>
    </x:row>
    <x:row r="195">
      <x:c r="A195" s="38" t="str">
        <x:v>Fourth Slot</x:v>
      </x:c>
      <x:c r="B195" s="51" t="str">
        <x:v>Monster Parts</x:v>
      </x:c>
      <x:c r="C195" s="51" t="str">
        <x:v>Uncommon</x:v>
      </x:c>
      <x:c r="D195" s="51" t="str">
        <x:v>Eyeless Moth Dust</x:v>
      </x:c>
      <x:c r="E195" s="51" t="str">
        <x:v>Blindness, Sight</x:v>
      </x:c>
      <x:c r="F195" s="51" t="str"/>
      <x:c r="G195" s="39" t="str">
        <x:v>A packet of pearl-gray dust brushed from the wings of eyeless cave moths. It feels like flour, smells of chalk and old wool, and makes bright light smear at the edge of vision.</x:v>
      </x:c>
    </x:row>
    <x:row r="196">
      <x:c r="A196" s="38" t="str">
        <x:v>Fourth Slot</x:v>
      </x:c>
      <x:c r="B196" s="51" t="str">
        <x:v>Monster Parts</x:v>
      </x:c>
      <x:c r="C196" s="51" t="str">
        <x:v>Uncommon</x:v>
      </x:c>
      <x:c r="D196" s="51" t="str">
        <x:v>Frost Motes</x:v>
      </x:c>
      <x:c r="E196" s="51" t="str">
        <x:v>Cold</x:v>
      </x:c>
      <x:c r="F196" s="51" t="str">
        <x:v>Duration +25%</x:v>
      </x:c>
      <x:c r="G196" s="39" t="str">
        <x:v>Pale blue motes tumble like snow in still air. They numb the fingertips through glass and smell of mint, iron, and winter wind.</x:v>
      </x:c>
    </x:row>
    <x:row r="197">
      <x:c r="A197" s="38" t="str">
        <x:v>Fourth Slot</x:v>
      </x:c>
      <x:c r="B197" s="51" t="str">
        <x:v>Monster Parts</x:v>
      </x:c>
      <x:c r="C197" s="51" t="str">
        <x:v>Uncommon</x:v>
      </x:c>
      <x:c r="D197" s="51" t="str">
        <x:v>Ice Gland</x:v>
      </x:c>
      <x:c r="E197" s="51" t="str">
        <x:v>Cold</x:v>
      </x:c>
      <x:c r="F197" s="51" t="str">
        <x:v>Effect +25%</x:v>
      </x:c>
      <x:c r="G197" s="39" t="str">
        <x:v>A pearl-blue gland with branching white veins. It is painfully cold, slick as river ice, and smells of clean snow.</x:v>
      </x:c>
    </x:row>
    <x:row r="198">
      <x:c r="A198" s="38" t="str">
        <x:v>Fourth Slot</x:v>
      </x:c>
      <x:c r="B198" s="51" t="str">
        <x:v>Monster Parts</x:v>
      </x:c>
      <x:c r="C198" s="51" t="str">
        <x:v>Uncommon</x:v>
      </x:c>
      <x:c r="D198" s="51" t="str">
        <x:v>Mind Motes</x:v>
      </x:c>
      <x:c r="E198" s="51" t="str">
        <x:v>Psychic, Mind, Confusion</x:v>
      </x:c>
      <x:c r="F198" s="51" t="str">
        <x:v>Duration +25%</x:v>
      </x:c>
      <x:c r="G198" s="39" t="str">
        <x:v>Faint violet motes arrange themselves into fleeting symbols. They taste metallic in the air and make nearby whispers seem closer.</x:v>
      </x:c>
    </x:row>
    <x:row r="199">
      <x:c r="A199" s="38" t="str">
        <x:v>Fourth Slot</x:v>
      </x:c>
      <x:c r="B199" s="51" t="str">
        <x:v>Monster Parts</x:v>
      </x:c>
      <x:c r="C199" s="51" t="str">
        <x:v>Uncommon</x:v>
      </x:c>
      <x:c r="D199" s="51" t="str">
        <x:v>Poison Gland</x:v>
      </x:c>
      <x:c r="E199" s="51" t="str">
        <x:v>Poison, Venom</x:v>
      </x:c>
      <x:c r="F199" s="51" t="str">
        <x:v>Effect +25%</x:v>
      </x:c>
      <x:c r="G199" s="39" t="str">
        <x:v>A green-black gland that sweats oily beads through its membrane. It smells sweet at first, then painfully bitter and metallic.</x:v>
      </x:c>
    </x:row>
    <x:row r="200">
      <x:c r="A200" s="38" t="str">
        <x:v>Fourth Slot</x:v>
      </x:c>
      <x:c r="B200" s="51" t="str">
        <x:v>Monster Parts</x:v>
      </x:c>
      <x:c r="C200" s="51" t="str">
        <x:v>Uncommon</x:v>
      </x:c>
      <x:c r="D200" s="51" t="str">
        <x:v>Resonant Motes</x:v>
      </x:c>
      <x:c r="E200" s="51" t="str">
        <x:v>Thunder, Sound, Deafness</x:v>
      </x:c>
      <x:c r="F200" s="51" t="str">
        <x:v>Area / Range +25%</x:v>
      </x:c>
      <x:c r="G200" s="39" t="str">
        <x:v>Silver motes ring softly against glass whenever someone speaks nearby. They smell of ozone and powdered crystal.</x:v>
      </x:c>
    </x:row>
    <x:row r="201">
      <x:c r="A201" s="38" t="str">
        <x:v>Fourth Slot</x:v>
      </x:c>
      <x:c r="B201" s="51" t="str">
        <x:v>Monster Parts</x:v>
      </x:c>
      <x:c r="C201" s="51" t="str">
        <x:v>Uncommon</x:v>
      </x:c>
      <x:c r="D201" s="51" t="str">
        <x:v>Storm Motes</x:v>
      </x:c>
      <x:c r="E201" s="51" t="str">
        <x:v>Lightning, Thunder</x:v>
      </x:c>
      <x:c r="F201" s="51" t="str">
        <x:v>Duration +25%</x:v>
      </x:c>
      <x:c r="G201" s="39" t="str">
        <x:v>Blue-white motes race around their vial in branching paths. They crackle softly and smell of wet stone and metal.</x:v>
      </x:c>
    </x:row>
    <x:row r="202">
      <x:c r="A202" s="38" t="str">
        <x:v>Fourth Slot</x:v>
      </x:c>
      <x:c r="B202" s="51" t="str">
        <x:v>Monster Parts</x:v>
      </x:c>
      <x:c r="C202" s="51" t="str">
        <x:v>Uncommon</x:v>
      </x:c>
      <x:c r="D202" s="51" t="str">
        <x:v>Toxic Motes</x:v>
      </x:c>
      <x:c r="E202" s="51" t="str">
        <x:v>Poison, Venom</x:v>
      </x:c>
      <x:c r="F202" s="51" t="str">
        <x:v>Duration +25%</x:v>
      </x:c>
      <x:c r="G202" s="39" t="str">
        <x:v>Yellow motes drift in a viscous suspension and sting the eyes when the vial is opened. They smell of crushed nettle and copper.</x:v>
      </x:c>
    </x:row>
    <x:row r="203">
      <x:c r="A203" s="38" t="str">
        <x:v>Fourth Slot</x:v>
      </x:c>
      <x:c r="B203" s="51" t="str">
        <x:v>Monster Parts</x:v>
      </x:c>
      <x:c r="C203" s="51" t="str">
        <x:v>Rare</x:v>
      </x:c>
      <x:c r="D203" s="51" t="str">
        <x:v>Aboleth Mucus</x:v>
      </x:c>
      <x:c r="E203" s="51" t="str">
        <x:v>Psychic, Confusion, Mind</x:v>
      </x:c>
      <x:c r="F203" s="51" t="str"/>
      <x:c r="G203" s="39" t="str">
        <x:v>A slick blue-gray mucus that never fully mixes with water. It smells of deep brine, slime, and old psychic pressure.</x:v>
      </x:c>
    </x:row>
    <x:row r="204">
      <x:c r="A204" s="38" t="str">
        <x:v>Fourth Slot</x:v>
      </x:c>
      <x:c r="B204" s="51" t="str">
        <x:v>Monster Parts</x:v>
      </x:c>
      <x:c r="C204" s="51" t="str">
        <x:v>Rare</x:v>
      </x:c>
      <x:c r="D204" s="51" t="str">
        <x:v>Binding Essence</x:v>
      </x:c>
      <x:c r="E204" s="51" t="str">
        <x:v>Restraint, Binding</x:v>
      </x:c>
      <x:c r="F204" s="51" t="str">
        <x:v>Duration +50%; Save DC +1</x:v>
      </x:c>
      <x:c r="G204" s="39" t="str">
        <x:v>Clear amber essence stretches into unbroken threads between containers. It smells of resin, wax, and clean rope fiber.</x:v>
      </x:c>
    </x:row>
    <x:row r="205">
      <x:c r="A205" s="38" t="str">
        <x:v>Fourth Slot</x:v>
      </x:c>
      <x:c r="B205" s="51" t="str">
        <x:v>Monster Parts</x:v>
      </x:c>
      <x:c r="C205" s="51" t="str">
        <x:v>Rare</x:v>
      </x:c>
      <x:c r="D205" s="51" t="str">
        <x:v>Charm Gland</x:v>
      </x:c>
      <x:c r="E205" s="51" t="str">
        <x:v>Charm, Mind, Fey</x:v>
      </x:c>
      <x:c r="F205" s="51" t="str">
        <x:v>Duration +25%; Save DC +1</x:v>
      </x:c>
      <x:c r="G205" s="39" t="str">
        <x:v>A rose-colored gland pulses in time with nearby voices. It smells sweet, warm, and faintly floral, with an aftertaste of copper.</x:v>
      </x:c>
    </x:row>
    <x:row r="206">
      <x:c r="A206" s="38" t="str">
        <x:v>Fourth Slot</x:v>
      </x:c>
      <x:c r="B206" s="51" t="str">
        <x:v>Monster Parts</x:v>
      </x:c>
      <x:c r="C206" s="51" t="str">
        <x:v>Rare</x:v>
      </x:c>
      <x:c r="D206" s="51" t="str">
        <x:v>Confusion Motes</x:v>
      </x:c>
      <x:c r="E206" s="51" t="str">
        <x:v>Confusion, Mind, Psychic</x:v>
      </x:c>
      <x:c r="F206" s="51" t="str">
        <x:v>Duration +25%; Save DC +1</x:v>
      </x:c>
      <x:c r="G206" s="39" t="str">
        <x:v>Pink-violet motes split into mismatched reflections. They smell of ink and flowers, and make simple patterns difficult to follow.</x:v>
      </x:c>
    </x:row>
    <x:row r="207">
      <x:c r="A207" s="38" t="str">
        <x:v>Fourth Slot</x:v>
      </x:c>
      <x:c r="B207" s="51" t="str">
        <x:v>Monster Parts</x:v>
      </x:c>
      <x:c r="C207" s="51" t="str">
        <x:v>Rare</x:v>
      </x:c>
      <x:c r="D207" s="51" t="str">
        <x:v>Dread Essence</x:v>
      </x:c>
      <x:c r="E207" s="51" t="str">
        <x:v>Fear, Mind</x:v>
      </x:c>
      <x:c r="F207" s="51" t="str">
        <x:v>Duration +25%; Save DC +1</x:v>
      </x:c>
      <x:c r="G207" s="39" t="str">
        <x:v>A smoke-dark essence contracts when touched by warm light. It smells of cold sweat, extinguished candles, and damp earth.</x:v>
      </x:c>
    </x:row>
    <x:row r="208">
      <x:c r="A208" s="38" t="str">
        <x:v>Fourth Slot</x:v>
      </x:c>
      <x:c r="B208" s="51" t="str">
        <x:v>Monster Parts</x:v>
      </x:c>
      <x:c r="C208" s="51" t="str">
        <x:v>Rare</x:v>
      </x:c>
      <x:c r="D208" s="51" t="str">
        <x:v>Dreadcap Spore Cluster</x:v>
      </x:c>
      <x:c r="E208" s="51" t="str">
        <x:v>Fear, Mind</x:v>
      </x:c>
      <x:c r="F208" s="51" t="str">
        <x:v>Save DC +1</x:v>
      </x:c>
      <x:c r="G208" s="39" t="str">
        <x:v>A black-purple knot of spores that contracts when exposed to breath. It smells of cold sweat, grave soil, and extinguished candles, and whispers like distant footsteps.</x:v>
      </x:c>
    </x:row>
    <x:row r="209">
      <x:c r="A209" s="38" t="str">
        <x:v>Fourth Slot</x:v>
      </x:c>
      <x:c r="B209" s="51" t="str">
        <x:v>Monster Parts</x:v>
      </x:c>
      <x:c r="C209" s="51" t="str">
        <x:v>Rare</x:v>
      </x:c>
      <x:c r="D209" s="51" t="str">
        <x:v>Ettercap Resin Gland</x:v>
      </x:c>
      <x:c r="E209" s="51" t="str">
        <x:v>Restraint, Binding</x:v>
      </x:c>
      <x:c r="F209" s="51" t="str">
        <x:v>Save DC +1</x:v>
      </x:c>
      <x:c r="G209" s="39" t="str">
        <x:v>A thumb-sized gland packed with clear, ropey resin. It smells of wet silk and bitter pine, stretches several feet before snapping, and hardens instantly in dry air.</x:v>
      </x:c>
    </x:row>
    <x:row r="210">
      <x:c r="A210" s="38" t="str">
        <x:v>Fourth Slot</x:v>
      </x:c>
      <x:c r="B210" s="51" t="str">
        <x:v>Monster Parts</x:v>
      </x:c>
      <x:c r="C210" s="51" t="str">
        <x:v>Rare</x:v>
      </x:c>
      <x:c r="D210" s="51" t="str">
        <x:v>Fire Gland</x:v>
      </x:c>
      <x:c r="E210" s="51" t="str">
        <x:v>Fire</x:v>
      </x:c>
      <x:c r="F210" s="51" t="str">
        <x:v>Effect +50%; Duration +25%</x:v>
      </x:c>
      <x:c r="G210" s="39" t="str">
        <x:v>A warm, pulsing gland with ember-red veins. It smells of scorched hide and mineral smoke.</x:v>
      </x:c>
    </x:row>
    <x:row r="211">
      <x:c r="A211" s="38" t="str">
        <x:v>Fourth Slot</x:v>
      </x:c>
      <x:c r="B211" s="51" t="str">
        <x:v>Monster Parts</x:v>
      </x:c>
      <x:c r="C211" s="51" t="str">
        <x:v>Rare</x:v>
      </x:c>
      <x:c r="D211" s="51" t="str">
        <x:v>Force Motes</x:v>
      </x:c>
      <x:c r="E211" s="51" t="str">
        <x:v>Force</x:v>
      </x:c>
      <x:c r="F211" s="51" t="str">
        <x:v>Effect +50%</x:v>
      </x:c>
      <x:c r="G211" s="39" t="str">
        <x:v>Clear motes knock against the vial without touching it. The container hums in the palm and smells faintly of ozone and clean glass.</x:v>
      </x:c>
    </x:row>
    <x:row r="212">
      <x:c r="A212" s="38" t="str">
        <x:v>Fourth Slot</x:v>
      </x:c>
      <x:c r="B212" s="51" t="str">
        <x:v>Monster Parts</x:v>
      </x:c>
      <x:c r="C212" s="51" t="str">
        <x:v>Rare</x:v>
      </x:c>
      <x:c r="D212" s="51" t="str">
        <x:v>Ghoul Ichor</x:v>
      </x:c>
      <x:c r="E212" s="51" t="str">
        <x:v>Paralysis, Nerve</x:v>
      </x:c>
      <x:c r="F212" s="51" t="str">
        <x:v>Save DC +1</x:v>
      </x:c>
      <x:c r="G212" s="39" t="str">
        <x:v>A gray-black ichor that clings in strings. It smells of grave soil, rot, and numbing cold.</x:v>
      </x:c>
    </x:row>
    <x:row r="213">
      <x:c r="A213" s="38" t="str">
        <x:v>Fourth Slot</x:v>
      </x:c>
      <x:c r="B213" s="51" t="str">
        <x:v>Monster Parts</x:v>
      </x:c>
      <x:c r="C213" s="51" t="str">
        <x:v>Rare</x:v>
      </x:c>
      <x:c r="D213" s="51" t="str">
        <x:v>Lightning Gland</x:v>
      </x:c>
      <x:c r="E213" s="51" t="str">
        <x:v>Lightning, Stunning</x:v>
      </x:c>
      <x:c r="F213" s="51" t="str">
        <x:v>Effect +50%; Area / Range +25%</x:v>
      </x:c>
      <x:c r="G213" s="39" t="str">
        <x:v>A violet gland crossed by blue sparks. It twitches near metal, raises the hair on the wrist, and smells of rain on copper.</x:v>
      </x:c>
    </x:row>
    <x:row r="214">
      <x:c r="A214" s="38" t="str">
        <x:v>Fourth Slot</x:v>
      </x:c>
      <x:c r="B214" s="51" t="str">
        <x:v>Monster Parts</x:v>
      </x:c>
      <x:c r="C214" s="51" t="str">
        <x:v>Rare</x:v>
      </x:c>
      <x:c r="D214" s="51" t="str">
        <x:v>Necrotic Essence</x:v>
      </x:c>
      <x:c r="E214" s="51" t="str">
        <x:v>Necrotic, Death</x:v>
      </x:c>
      <x:c r="F214" s="51" t="str">
        <x:v>Effect +50%; Save DC +1</x:v>
      </x:c>
      <x:c r="G214" s="39" t="str">
        <x:v>A gray-black essence that settles beneath every liquid. It chills nearby skin and smells of old incense, cold soil, and stone crypts.</x:v>
      </x:c>
    </x:row>
    <x:row r="215">
      <x:c r="A215" s="38" t="str">
        <x:v>Fourth Slot</x:v>
      </x:c>
      <x:c r="B215" s="51" t="str">
        <x:v>Monster Parts</x:v>
      </x:c>
      <x:c r="C215" s="51" t="str">
        <x:v>Rare</x:v>
      </x:c>
      <x:c r="D215" s="51" t="str">
        <x:v>Nerve Gland</x:v>
      </x:c>
      <x:c r="E215" s="51" t="str">
        <x:v>Paralysis, Nerve</x:v>
      </x:c>
      <x:c r="F215" s="51" t="str">
        <x:v>Effect +25%; Save DC +1</x:v>
      </x:c>
      <x:c r="G215" s="39" t="str">
        <x:v>A pale branching gland twitches when exposed to air. It smells of salt, bitter roots, and a sharp electrical tang.</x:v>
      </x:c>
    </x:row>
    <x:row r="216">
      <x:c r="A216" s="38" t="str">
        <x:v>Fourth Slot</x:v>
      </x:c>
      <x:c r="B216" s="51" t="str">
        <x:v>Monster Parts</x:v>
      </x:c>
      <x:c r="C216" s="51" t="str">
        <x:v>Rare</x:v>
      </x:c>
      <x:c r="D216" s="51" t="str">
        <x:v>Psychic Gland</x:v>
      </x:c>
      <x:c r="E216" s="51" t="str">
        <x:v>Psychic, Mind, Confusion</x:v>
      </x:c>
      <x:c r="F216" s="51" t="str">
        <x:v>Effect +50%; Save DC +1</x:v>
      </x:c>
      <x:c r="G216" s="39" t="str">
        <x:v>A violet gland patterned with silver folds that shift when watched. It pulses near thoughts and smells of ozone, ink, and lavender.</x:v>
      </x:c>
    </x:row>
    <x:row r="217">
      <x:c r="A217" s="38" t="str">
        <x:v>Fourth Slot</x:v>
      </x:c>
      <x:c r="B217" s="51" t="str">
        <x:v>Monster Parts</x:v>
      </x:c>
      <x:c r="C217" s="51" t="str">
        <x:v>Rare</x:v>
      </x:c>
      <x:c r="D217" s="51" t="str">
        <x:v>Radiant Motes</x:v>
      </x:c>
      <x:c r="E217" s="51" t="str">
        <x:v>Radiant, Holy</x:v>
      </x:c>
      <x:c r="F217" s="51" t="str">
        <x:v>Effect +50%</x:v>
      </x:c>
      <x:c r="G217" s="39" t="str">
        <x:v>Gold-white motes glow with steady warmth and leave no shadow. They smell of candle wax, clean linen, and sun-warmed stone.</x:v>
      </x:c>
    </x:row>
    <x:row r="218">
      <x:c r="A218" s="38" t="str">
        <x:v>Fourth Slot</x:v>
      </x:c>
      <x:c r="B218" s="51" t="str">
        <x:v>Monster Parts</x:v>
      </x:c>
      <x:c r="C218" s="51" t="str">
        <x:v>Rare</x:v>
      </x:c>
      <x:c r="D218" s="51" t="str">
        <x:v>Siren Gland Extract</x:v>
      </x:c>
      <x:c r="E218" s="51" t="str">
        <x:v>Charm, Mind</x:v>
      </x:c>
      <x:c r="F218" s="51" t="str">
        <x:v>Save DC +1</x:v>
      </x:c>
      <x:c r="G218" s="39" t="str">
        <x:v>A rose-gold extract that vibrates inside sealed glass. It smells of salt spray and sweet wine, and a faint melody can be heard when the vial is held to the ear.</x:v>
      </x:c>
    </x:row>
    <x:row r="219">
      <x:c r="A219" s="38" t="str">
        <x:v>Fourth Slot</x:v>
      </x:c>
      <x:c r="B219" s="51" t="str">
        <x:v>Monster Parts</x:v>
      </x:c>
      <x:c r="C219" s="51" t="str">
        <x:v>Rare</x:v>
      </x:c>
      <x:c r="D219" s="51" t="str">
        <x:v>Stunning Gland</x:v>
      </x:c>
      <x:c r="E219" s="51" t="str">
        <x:v>Stunning, Nerve, Lightning, Thunder</x:v>
      </x:c>
      <x:c r="F219" s="51" t="str">
        <x:v>Area / Range +25%; Save DC +1</x:v>
      </x:c>
      <x:c r="G219" s="39" t="str">
        <x:v>A bright blue gland flashes in abrupt pulses. It makes the jaw ache when held and smells of ozone and cold metal.</x:v>
      </x:c>
    </x:row>
    <x:row r="220">
      <x:c r="A220" s="38" t="str">
        <x:v>Fourth Slot</x:v>
      </x:c>
      <x:c r="B220" s="51" t="str">
        <x:v>Monster Parts</x:v>
      </x:c>
      <x:c r="C220" s="51" t="str">
        <x:v>Rare</x:v>
      </x:c>
      <x:c r="D220" s="51" t="str">
        <x:v>Thunder Gland</x:v>
      </x:c>
      <x:c r="E220" s="51" t="str">
        <x:v>Thunder, Sound, Deafness</x:v>
      </x:c>
      <x:c r="F220" s="51" t="str">
        <x:v>Effect +50%; Area / Range +25%</x:v>
      </x:c>
      <x:c r="G220" s="39" t="str">
        <x:v>A hollow blue gland vibrates with a tone felt more than heard. It smells of rain, slate, and split wood.</x:v>
      </x:c>
    </x:row>
    <x:row r="221">
      <x:c r="A221" s="38" t="str">
        <x:v>Fourth Slot</x:v>
      </x:c>
      <x:c r="B221" s="51" t="str">
        <x:v>Monster Parts</x:v>
      </x:c>
      <x:c r="C221" s="51" t="str">
        <x:v>Rare</x:v>
      </x:c>
      <x:c r="D221" s="51" t="str">
        <x:v>Troll Blood</x:v>
      </x:c>
      <x:c r="E221" s="51" t="str">
        <x:v>Regeneration, Vitality</x:v>
      </x:c>
      <x:c r="F221" s="51" t="str">
        <x:v>Effect +25%</x:v>
      </x:c>
      <x:c r="G221" s="39" t="str">
        <x:v>Thick green-black blood that knits back together after being stirred. It smells of wet hide, iron, and swamp rot.</x:v>
      </x:c>
    </x:row>
    <x:row r="222">
      <x:c r="A222" s="38" t="str">
        <x:v>Fourth Slot</x:v>
      </x:c>
      <x:c r="B222" s="51" t="str">
        <x:v>Monster Parts</x:v>
      </x:c>
      <x:c r="C222" s="51" t="str">
        <x:v>Rare</x:v>
      </x:c>
      <x:c r="D222" s="51" t="str">
        <x:v>Wyvern Venom</x:v>
      </x:c>
      <x:c r="E222" s="51" t="str">
        <x:v>Poison, Venom</x:v>
      </x:c>
      <x:c r="F222" s="51" t="str">
        <x:v>Save DC +1; Die step +1</x:v>
      </x:c>
      <x:c r="G222" s="39" t="str">
        <x:v>A clear green venom that beads like oil. It smells of crushed nettles, copper, and sharp animal musk.</x:v>
      </x:c>
    </x:row>
    <x:row r="223">
      <x:c r="A223" s="38" t="str">
        <x:v>Fourth Slot</x:v>
      </x:c>
      <x:c r="B223" s="51" t="str">
        <x:v>Monster Parts</x:v>
      </x:c>
      <x:c r="C223" s="51" t="str">
        <x:v>Very Rare</x:v>
      </x:c>
      <x:c r="D223" s="51" t="str">
        <x:v>Basilisk Bile</x:v>
      </x:c>
      <x:c r="E223" s="51" t="str">
        <x:v>Petrification, Stone</x:v>
      </x:c>
      <x:c r="F223" s="51" t="str">
        <x:v>Save DC +2</x:v>
      </x:c>
      <x:c r="G223" s="39" t="str">
        <x:v>A gritty yellow bile that leaves stone-colored streaks in the vial. It smells chalky, sour, and reptilian.</x:v>
      </x:c>
    </x:row>
    <x:row r="224">
      <x:c r="A224" s="38" t="str">
        <x:v>Fourth Slot</x:v>
      </x:c>
      <x:c r="B224" s="51" t="str">
        <x:v>Monster Parts</x:v>
      </x:c>
      <x:c r="C224" s="51" t="str">
        <x:v>Very Rare</x:v>
      </x:c>
      <x:c r="D224" s="51" t="str">
        <x:v>Celestial Blood</x:v>
      </x:c>
      <x:c r="E224" s="51" t="str">
        <x:v>Radiant, Holy</x:v>
      </x:c>
      <x:c r="F224" s="51" t="str">
        <x:v>Effect +25%; Die step +1</x:v>
      </x:c>
      <x:c r="G224" s="39" t="str">
        <x:v>Luminous silver-gold blood moves like liquid light. It warms the hands and smells of spring rain, incense, and fresh air.</x:v>
      </x:c>
    </x:row>
    <x:row r="225">
      <x:c r="A225" s="38" t="str">
        <x:v>Fourth Slot</x:v>
      </x:c>
      <x:c r="B225" s="51" t="str">
        <x:v>Monster Parts</x:v>
      </x:c>
      <x:c r="C225" s="51" t="str">
        <x:v>Very Rare</x:v>
      </x:c>
      <x:c r="D225" s="51" t="str">
        <x:v>Demonic Blood</x:v>
      </x:c>
      <x:c r="E225" s="51" t="str">
        <x:v>Fire, Necrotic, Fear, Infernal</x:v>
      </x:c>
      <x:c r="F225" s="51" t="str">
        <x:v>Effect +75%; Save DC +1</x:v>
      </x:c>
      <x:c r="G225" s="39" t="str">
        <x:v>Thick black-red blood rolls against gravity and steams in cool air. It smells of sulfur, iron, and burned leather.</x:v>
      </x:c>
    </x:row>
    <x:row r="226">
      <x:c r="A226" s="38" t="str">
        <x:v>Fourth Slot</x:v>
      </x:c>
      <x:c r="B226" s="51" t="str">
        <x:v>Monster Parts</x:v>
      </x:c>
      <x:c r="C226" s="51" t="str">
        <x:v>Very Rare</x:v>
      </x:c>
      <x:c r="D226" s="51" t="str">
        <x:v>Dragon Gland</x:v>
      </x:c>
      <x:c r="E226" s="51" t="str">
        <x:v>Fire, Dragon</x:v>
      </x:c>
      <x:c r="F226" s="51" t="str">
        <x:v>Effect +50%; Die step +1</x:v>
      </x:c>
      <x:c r="G226" s="39" t="str">
        <x:v>A preserved gland that pulses with elemental heat. It smells of scales, smoke, and old treasure chambers.</x:v>
      </x:c>
    </x:row>
    <x:row r="227">
      <x:c r="A227" s="38" t="str">
        <x:v>Fourth Slot</x:v>
      </x:c>
      <x:c r="B227" s="51" t="str">
        <x:v>Monster Parts</x:v>
      </x:c>
      <x:c r="C227" s="51" t="str">
        <x:v>Very Rare</x:v>
      </x:c>
      <x:c r="D227" s="51" t="str">
        <x:v>Force Gland</x:v>
      </x:c>
      <x:c r="E227" s="51" t="str">
        <x:v>Force</x:v>
      </x:c>
      <x:c r="F227" s="51" t="str">
        <x:v>Effect +25%; Die step +1</x:v>
      </x:c>
      <x:c r="G227" s="39" t="str">
        <x:v>A colorless knot of dense tissue that makes nearby dust orbit it. It feels heavy, vibrates under pressure, and carries no natural scent.</x:v>
      </x:c>
    </x:row>
    <x:row r="228">
      <x:c r="A228" s="38" t="str">
        <x:v>Fourth Slot</x:v>
      </x:c>
      <x:c r="B228" s="51" t="str">
        <x:v>Monster Parts</x:v>
      </x:c>
      <x:c r="C228" s="51" t="str">
        <x:v>Very Rare</x:v>
      </x:c>
      <x:c r="D228" s="51" t="str">
        <x:v>Kaorti Ichor</x:v>
      </x:c>
      <x:c r="E228" s="51" t="str">
        <x:v>Confusion, Psychic</x:v>
      </x:c>
      <x:c r="F228" s="51" t="str">
        <x:v>Effect +50%; Save DC +2</x:v>
      </x:c>
      <x:c r="G228" s="39" t="str">
        <x:v>A black-violet ichor that ripples in impossible patterns. It smells alien, sweet, and nauseatingly clean.</x:v>
      </x:c>
    </x:row>
    <x:row r="229">
      <x:c r="A229" s="38" t="str">
        <x:v>Fourth Slot</x:v>
      </x:c>
      <x:c r="B229" s="51" t="str">
        <x:v>Monster Parts</x:v>
      </x:c>
      <x:c r="C229" s="51" t="str">
        <x:v>Very Rare</x:v>
      </x:c>
      <x:c r="D229" s="51" t="str">
        <x:v>Petrifying Blood</x:v>
      </x:c>
      <x:c r="E229" s="51" t="str">
        <x:v>Petrification, Stone</x:v>
      </x:c>
      <x:c r="F229" s="51" t="str">
        <x:v>Duration +25%; Save DC +2</x:v>
      </x:c>
      <x:c r="G229" s="39" t="str">
        <x:v>Gray-gold blood thickens into stone-like flakes along the vial. It smells of limestone, iron, and rain on statues.</x:v>
      </x:c>
    </x:row>
    <x:row r="230">
      <x:c r="A230" s="38" t="str">
        <x:v>Fourth Slot</x:v>
      </x:c>
      <x:c r="B230" s="51" t="str">
        <x:v>Monster Parts</x:v>
      </x:c>
      <x:c r="C230" s="51" t="str">
        <x:v>Very Rare</x:v>
      </x:c>
      <x:c r="D230" s="51" t="str">
        <x:v>Phase Residue</x:v>
      </x:c>
      <x:c r="E230" s="51" t="str">
        <x:v>Phase Displacement, Phase, Force</x:v>
      </x:c>
      <x:c r="F230" s="51" t="str">
        <x:v>Duration +50%</x:v>
      </x:c>
      <x:c r="G230" s="39" t="str">
        <x:v>A pearly residue that blurs at the edge of sight. It smells like ozone, fog, and empty rooms.</x:v>
      </x:c>
    </x:row>
    <x:row r="231">
      <x:c r="A231" s="38" t="str">
        <x:v>Fourth Slot</x:v>
      </x:c>
      <x:c r="B231" s="51" t="str">
        <x:v>Monster Parts</x:v>
      </x:c>
      <x:c r="C231" s="51" t="str">
        <x:v>Very Rare</x:v>
      </x:c>
      <x:c r="D231" s="51" t="str">
        <x:v>Shock Eel Cerebrum</x:v>
      </x:c>
      <x:c r="E231" s="51" t="str">
        <x:v>Stunning, Lightning, Nerve</x:v>
      </x:c>
      <x:c r="F231" s="51" t="str">
        <x:v>Die step +1</x:v>
      </x:c>
      <x:c r="G231" s="39" t="str">
        <x:v>A translucent blue organ suspended in conductive brine. It crackles against metal, smells sharply of ozone and seawater, and causes the fingers to twitch nearby.</x:v>
      </x:c>
    </x:row>
    <x:row r="232">
      <x:c r="A232" s="40" t="str">
        <x:v>Fourth Slot</x:v>
      </x:c>
      <x:c r="B232" s="52" t="str">
        <x:v>Monster Parts</x:v>
      </x:c>
      <x:c r="C232" s="52" t="str">
        <x:v>Legendary</x:v>
      </x:c>
      <x:c r="D232" s="52" t="str">
        <x:v>Storm Giant Blood</x:v>
      </x:c>
      <x:c r="E232" s="52" t="str">
        <x:v>Storm, Giant, Lightning, Thunder</x:v>
      </x:c>
      <x:c r="F232" s="52" t="str">
        <x:v>Effect +100%; Duration +25%</x:v>
      </x:c>
      <x:c r="G232" s="41" t="str">
        <x:v>A heavy vial of blue-white blood that crackles softly and smells of rain, iron, and high mountain air.</x:v>
      </x:c>
    </x:row>
  </x:sheetData>
  <x:conditionalFormatting sqref="C2:C232">
    <x:cfRule type="expression" dxfId="0" priority="1">
      <x:formula>C2="Common"</x:formula>
    </x:cfRule>
    <x:cfRule type="expression" dxfId="1" priority="2">
      <x:formula>C2="Uncommon"</x:formula>
    </x:cfRule>
    <x:cfRule type="expression" dxfId="2" priority="3">
      <x:formula>C2="Rare"</x:formula>
    </x:cfRule>
    <x:cfRule type="expression" dxfId="3" priority="4">
      <x:formula>C2="Very Rare"</x:formula>
    </x:cfRule>
    <x:cfRule type="expression" dxfId="4" priority="5">
      <x:formula>C2="Legendary"</x:formula>
    </x:cfRule>
  </x:conditionalFormatting>
  <x:pageMargins left="0.7" right="0.7" top="0.75" bottom="0.75" header="0.3" footer="0.3"/>
  <x:tableParts count="1">
    <x:tablePart xmlns:r="http://schemas.openxmlformats.org/officeDocument/2006/relationships" r:id="R813f957dd91848dc"/>
  </x:tableParts>
</x:worksheet>
</file>

<file path=xl/worksheets/sheet3.xml><?xml version="1.0" encoding="utf-8"?>
<x:worksheet xmlns:x="http://schemas.openxmlformats.org/spreadsheetml/2006/main">
  <x:sheetFormatPr defaultRowHeight="15"/>
  <x:cols>
    <x:col min="1" max="1" width="12" hidden="0" customWidth="1"/>
    <x:col min="2" max="2" width="25" hidden="0" customWidth="1"/>
    <x:col min="3" max="3" width="34" hidden="0" customWidth="1"/>
    <x:col min="4" max="4" width="13" hidden="0" customWidth="1"/>
    <x:col min="5" max="5" width="14" hidden="0" customWidth="1"/>
    <x:col min="6" max="6" width="22" hidden="0" customWidth="1"/>
    <x:col min="7" max="7" width="22" hidden="0" customWidth="1"/>
    <x:col min="8" max="8" width="22" hidden="0" customWidth="1"/>
    <x:col min="9" max="9" width="36" hidden="0" customWidth="1"/>
    <x:col min="10" max="10" width="18" hidden="0" customWidth="1"/>
    <x:col min="11" max="11" width="78" hidden="0" customWidth="1"/>
    <x:col min="12" max="12" width="27" hidden="0" customWidth="1"/>
  </x:cols>
  <x:sheetData>
    <x:row r="1">
      <x:c r="A1" s="26" t="str">
        <x:v>Type</x:v>
      </x:c>
      <x:c r="B1" s="46" t="str">
        <x:v>Recipe Group</x:v>
      </x:c>
      <x:c r="C1" s="46" t="str">
        <x:v>Recipe</x:v>
      </x:c>
      <x:c r="D1" s="46" t="str">
        <x:v>Rarity</x:v>
      </x:c>
      <x:c r="E1" s="46" t="str">
        <x:v>Base Craft DC</x:v>
      </x:c>
      <x:c r="F1" s="46" t="str">
        <x:v>Core Ingredient 1</x:v>
      </x:c>
      <x:c r="G1" s="46" t="str">
        <x:v>Core Ingredient 2</x:v>
      </x:c>
      <x:c r="H1" s="46" t="str">
        <x:v>Core Ingredient 3</x:v>
      </x:c>
      <x:c r="I1" s="46" t="str">
        <x:v>Required Fourth-Slot Tags</x:v>
      </x:c>
      <x:c r="J1" s="46" t="str">
        <x:v>Duration</x:v>
      </x:c>
      <x:c r="K1" s="46" t="str">
        <x:v>Base Effect</x:v>
      </x:c>
      <x:c r="L1" s="27" t="str">
        <x:v>Use</x:v>
      </x:c>
    </x:row>
    <x:row r="2">
      <x:c r="A2" s="38" t="str">
        <x:v>Potions</x:v>
      </x:c>
      <x:c r="B2" s="51" t="str">
        <x:v>Elemental Breath Potions</x:v>
      </x:c>
      <x:c r="C2" s="51" t="str">
        <x:v>Potion of Acid Breath</x:v>
      </x:c>
      <x:c r="D2" s="51" t="str">
        <x:v>Uncommon</x:v>
      </x:c>
      <x:c r="E2" s="51" t="n">
        <x:v>22</x:v>
      </x:c>
      <x:c r="F2" s="51" t="str">
        <x:v>Mineral / Salt / Ash</x:v>
      </x:c>
      <x:c r="G2" s="51" t="str">
        <x:v>Sap / Resin</x:v>
      </x:c>
      <x:c r="H2" s="51" t="str">
        <x:v>Thorn / Bark / Wood</x:v>
      </x:c>
      <x:c r="I2" s="51" t="str">
        <x:v>Acid</x:v>
      </x:c>
      <x:c r="J2" s="51" t="str">
        <x:v>1 hour or 3 uses</x:v>
      </x:c>
      <x:c r="K2" s="51" t="str">
        <x:v>For 1 hour, the drinker can use a Bonus Action up to three times to exhale a 15-foot cone. Creatures in the cone make a Dexterity saving throw, taking 3d6 acid damage on a failed save or half as much on a success.</x:v>
      </x:c>
      <x:c r="L2" s="39" t="str">
        <x:v>Bonus Action to use or apply</x:v>
      </x:c>
    </x:row>
    <x:row r="3">
      <x:c r="A3" s="38" t="str">
        <x:v>Potions</x:v>
      </x:c>
      <x:c r="B3" s="51" t="str">
        <x:v>Elemental Breath Potions</x:v>
      </x:c>
      <x:c r="C3" s="51" t="str">
        <x:v>Potion of Cold Breath</x:v>
      </x:c>
      <x:c r="D3" s="51" t="str">
        <x:v>Uncommon</x:v>
      </x:c>
      <x:c r="E3" s="51" t="n">
        <x:v>22</x:v>
      </x:c>
      <x:c r="F3" s="51" t="str">
        <x:v>Mineral / Salt / Ash</x:v>
      </x:c>
      <x:c r="G3" s="51" t="str">
        <x:v>Sap / Resin</x:v>
      </x:c>
      <x:c r="H3" s="51" t="str">
        <x:v>Thorn / Bark / Wood</x:v>
      </x:c>
      <x:c r="I3" s="51" t="str">
        <x:v>Cold</x:v>
      </x:c>
      <x:c r="J3" s="51" t="str">
        <x:v>1 hour or 3 uses</x:v>
      </x:c>
      <x:c r="K3" s="51" t="str">
        <x:v>For 1 hour, the drinker can use a Bonus Action up to three times to exhale a 15-foot cone. Creatures in the cone make a Constitution saving throw, taking 3d6 cold damage on a failed save or half as much on a success.</x:v>
      </x:c>
      <x:c r="L3" s="39" t="str">
        <x:v>Bonus Action to use or apply</x:v>
      </x:c>
    </x:row>
    <x:row r="4">
      <x:c r="A4" s="38" t="str">
        <x:v>Potions</x:v>
      </x:c>
      <x:c r="B4" s="51" t="str">
        <x:v>Elemental Breath Potions</x:v>
      </x:c>
      <x:c r="C4" s="51" t="str">
        <x:v>Potion of Fire Breath</x:v>
      </x:c>
      <x:c r="D4" s="51" t="str">
        <x:v>Uncommon</x:v>
      </x:c>
      <x:c r="E4" s="51" t="n">
        <x:v>22</x:v>
      </x:c>
      <x:c r="F4" s="51" t="str">
        <x:v>Mineral / Salt / Ash</x:v>
      </x:c>
      <x:c r="G4" s="51" t="str">
        <x:v>Sap / Resin</x:v>
      </x:c>
      <x:c r="H4" s="51" t="str">
        <x:v>Thorn / Bark / Wood</x:v>
      </x:c>
      <x:c r="I4" s="51" t="str">
        <x:v>Fire</x:v>
      </x:c>
      <x:c r="J4" s="51" t="str">
        <x:v>1 hour or 3 uses</x:v>
      </x:c>
      <x:c r="K4" s="51" t="str">
        <x:v>For 1 hour, the drinker can use a Bonus Action up to three times to exhale a 15-foot cone. Creatures in the cone make a Dexterity saving throw, taking 3d6 fire damage on a failed save or half as much on a success.</x:v>
      </x:c>
      <x:c r="L4" s="39" t="str">
        <x:v>Bonus Action to use or apply</x:v>
      </x:c>
    </x:row>
    <x:row r="5">
      <x:c r="A5" s="38" t="str">
        <x:v>Potions</x:v>
      </x:c>
      <x:c r="B5" s="51" t="str">
        <x:v>Elemental Breath Potions</x:v>
      </x:c>
      <x:c r="C5" s="51" t="str">
        <x:v>Potion of Force Breath</x:v>
      </x:c>
      <x:c r="D5" s="51" t="str">
        <x:v>Uncommon</x:v>
      </x:c>
      <x:c r="E5" s="51" t="n">
        <x:v>22</x:v>
      </x:c>
      <x:c r="F5" s="51" t="str">
        <x:v>Mineral / Salt / Ash</x:v>
      </x:c>
      <x:c r="G5" s="51" t="str">
        <x:v>Sap / Resin</x:v>
      </x:c>
      <x:c r="H5" s="51" t="str">
        <x:v>Thorn / Bark / Wood</x:v>
      </x:c>
      <x:c r="I5" s="51" t="str">
        <x:v>Force</x:v>
      </x:c>
      <x:c r="J5" s="51" t="str">
        <x:v>1 hour or 3 uses</x:v>
      </x:c>
      <x:c r="K5" s="51" t="str">
        <x:v>For 1 hour, the drinker can use a Bonus Action up to three times to exhale a 15-foot cone. Creatures in the cone make a Strength saving throw, taking 3d6 force damage on a failed save or half as much on a success.</x:v>
      </x:c>
      <x:c r="L5" s="39" t="str">
        <x:v>Bonus Action to use or apply</x:v>
      </x:c>
    </x:row>
    <x:row r="6">
      <x:c r="A6" s="38" t="str">
        <x:v>Potions</x:v>
      </x:c>
      <x:c r="B6" s="51" t="str">
        <x:v>Elemental Breath Potions</x:v>
      </x:c>
      <x:c r="C6" s="51" t="str">
        <x:v>Potion of Lightning Breath</x:v>
      </x:c>
      <x:c r="D6" s="51" t="str">
        <x:v>Uncommon</x:v>
      </x:c>
      <x:c r="E6" s="51" t="n">
        <x:v>22</x:v>
      </x:c>
      <x:c r="F6" s="51" t="str">
        <x:v>Mineral / Salt / Ash</x:v>
      </x:c>
      <x:c r="G6" s="51" t="str">
        <x:v>Sap / Resin</x:v>
      </x:c>
      <x:c r="H6" s="51" t="str">
        <x:v>Thorn / Bark / Wood</x:v>
      </x:c>
      <x:c r="I6" s="51" t="str">
        <x:v>Lightning</x:v>
      </x:c>
      <x:c r="J6" s="51" t="str">
        <x:v>1 hour or 3 uses</x:v>
      </x:c>
      <x:c r="K6" s="51" t="str">
        <x:v>For 1 hour, the drinker can use a Bonus Action up to three times to exhale a 15-foot cone. Creatures in the cone make a Dexterity saving throw, taking 3d6 lightning damage on a failed save or half as much on a success.</x:v>
      </x:c>
      <x:c r="L6" s="39" t="str">
        <x:v>Bonus Action to use or apply</x:v>
      </x:c>
    </x:row>
    <x:row r="7">
      <x:c r="A7" s="38" t="str">
        <x:v>Potions</x:v>
      </x:c>
      <x:c r="B7" s="51" t="str">
        <x:v>Elemental Breath Potions</x:v>
      </x:c>
      <x:c r="C7" s="51" t="str">
        <x:v>Potion of Necrotic Breath</x:v>
      </x:c>
      <x:c r="D7" s="51" t="str">
        <x:v>Uncommon</x:v>
      </x:c>
      <x:c r="E7" s="51" t="n">
        <x:v>22</x:v>
      </x:c>
      <x:c r="F7" s="51" t="str">
        <x:v>Mineral / Salt / Ash</x:v>
      </x:c>
      <x:c r="G7" s="51" t="str">
        <x:v>Sap / Resin</x:v>
      </x:c>
      <x:c r="H7" s="51" t="str">
        <x:v>Thorn / Bark / Wood</x:v>
      </x:c>
      <x:c r="I7" s="51" t="str">
        <x:v>Necrotic</x:v>
      </x:c>
      <x:c r="J7" s="51" t="str">
        <x:v>1 hour or 3 uses</x:v>
      </x:c>
      <x:c r="K7" s="51" t="str">
        <x:v>For 1 hour, the drinker can use a Bonus Action up to three times to exhale a 15-foot cone. Creatures in the cone make a Constitution saving throw, taking 3d6 necrotic damage on a failed save or half as much on a success.</x:v>
      </x:c>
      <x:c r="L7" s="39" t="str">
        <x:v>Bonus Action to use or apply</x:v>
      </x:c>
    </x:row>
    <x:row r="8">
      <x:c r="A8" s="38" t="str">
        <x:v>Potions</x:v>
      </x:c>
      <x:c r="B8" s="51" t="str">
        <x:v>Elemental Breath Potions</x:v>
      </x:c>
      <x:c r="C8" s="51" t="str">
        <x:v>Potion of Poison Breath</x:v>
      </x:c>
      <x:c r="D8" s="51" t="str">
        <x:v>Uncommon</x:v>
      </x:c>
      <x:c r="E8" s="51" t="n">
        <x:v>22</x:v>
      </x:c>
      <x:c r="F8" s="51" t="str">
        <x:v>Mineral / Salt / Ash</x:v>
      </x:c>
      <x:c r="G8" s="51" t="str">
        <x:v>Sap / Resin</x:v>
      </x:c>
      <x:c r="H8" s="51" t="str">
        <x:v>Thorn / Bark / Wood</x:v>
      </x:c>
      <x:c r="I8" s="51" t="str">
        <x:v>Poison</x:v>
      </x:c>
      <x:c r="J8" s="51" t="str">
        <x:v>1 hour or 3 uses</x:v>
      </x:c>
      <x:c r="K8" s="51" t="str">
        <x:v>For 1 hour, the drinker can use a Bonus Action up to three times to exhale a 15-foot cone. Creatures in the cone make a Constitution saving throw, taking 3d6 poison damage on a failed save or half as much on a success.</x:v>
      </x:c>
      <x:c r="L8" s="39" t="str">
        <x:v>Bonus Action to use or apply</x:v>
      </x:c>
    </x:row>
    <x:row r="9">
      <x:c r="A9" s="38" t="str">
        <x:v>Potions</x:v>
      </x:c>
      <x:c r="B9" s="51" t="str">
        <x:v>Elemental Breath Potions</x:v>
      </x:c>
      <x:c r="C9" s="51" t="str">
        <x:v>Potion of Psychic Breath</x:v>
      </x:c>
      <x:c r="D9" s="51" t="str">
        <x:v>Uncommon</x:v>
      </x:c>
      <x:c r="E9" s="51" t="n">
        <x:v>22</x:v>
      </x:c>
      <x:c r="F9" s="51" t="str">
        <x:v>Mineral / Salt / Ash</x:v>
      </x:c>
      <x:c r="G9" s="51" t="str">
        <x:v>Sap / Resin</x:v>
      </x:c>
      <x:c r="H9" s="51" t="str">
        <x:v>Thorn / Bark / Wood</x:v>
      </x:c>
      <x:c r="I9" s="51" t="str">
        <x:v>Psychic</x:v>
      </x:c>
      <x:c r="J9" s="51" t="str">
        <x:v>1 hour or 3 uses</x:v>
      </x:c>
      <x:c r="K9" s="51" t="str">
        <x:v>For 1 hour, the drinker can use a Bonus Action up to three times to exhale a 15-foot cone. Creatures in the cone make a Wisdom saving throw, taking 3d6 psychic damage on a failed save or half as much on a success.</x:v>
      </x:c>
      <x:c r="L9" s="39" t="str">
        <x:v>Bonus Action to use or apply</x:v>
      </x:c>
    </x:row>
    <x:row r="10">
      <x:c r="A10" s="38" t="str">
        <x:v>Potions</x:v>
      </x:c>
      <x:c r="B10" s="51" t="str">
        <x:v>Elemental Breath Potions</x:v>
      </x:c>
      <x:c r="C10" s="51" t="str">
        <x:v>Potion of Radiant Breath</x:v>
      </x:c>
      <x:c r="D10" s="51" t="str">
        <x:v>Uncommon</x:v>
      </x:c>
      <x:c r="E10" s="51" t="n">
        <x:v>22</x:v>
      </x:c>
      <x:c r="F10" s="51" t="str">
        <x:v>Mineral / Salt / Ash</x:v>
      </x:c>
      <x:c r="G10" s="51" t="str">
        <x:v>Sap / Resin</x:v>
      </x:c>
      <x:c r="H10" s="51" t="str">
        <x:v>Thorn / Bark / Wood</x:v>
      </x:c>
      <x:c r="I10" s="51" t="str">
        <x:v>Radiant</x:v>
      </x:c>
      <x:c r="J10" s="51" t="str">
        <x:v>1 hour or 3 uses</x:v>
      </x:c>
      <x:c r="K10" s="51" t="str">
        <x:v>For 1 hour, the drinker can use a Bonus Action up to three times to exhale a 15-foot cone. Creatures in the cone make a Constitution saving throw, taking 3d6 radiant damage on a failed save or half as much on a success.</x:v>
      </x:c>
      <x:c r="L10" s="39" t="str">
        <x:v>Bonus Action to use or apply</x:v>
      </x:c>
    </x:row>
    <x:row r="11">
      <x:c r="A11" s="38" t="str">
        <x:v>Potions</x:v>
      </x:c>
      <x:c r="B11" s="51" t="str">
        <x:v>Elemental Breath Potions</x:v>
      </x:c>
      <x:c r="C11" s="51" t="str">
        <x:v>Potion of Thunder Breath</x:v>
      </x:c>
      <x:c r="D11" s="51" t="str">
        <x:v>Uncommon</x:v>
      </x:c>
      <x:c r="E11" s="51" t="n">
        <x:v>22</x:v>
      </x:c>
      <x:c r="F11" s="51" t="str">
        <x:v>Mineral / Salt / Ash</x:v>
      </x:c>
      <x:c r="G11" s="51" t="str">
        <x:v>Sap / Resin</x:v>
      </x:c>
      <x:c r="H11" s="51" t="str">
        <x:v>Thorn / Bark / Wood</x:v>
      </x:c>
      <x:c r="I11" s="51" t="str">
        <x:v>Thunder</x:v>
      </x:c>
      <x:c r="J11" s="51" t="str">
        <x:v>1 hour or 3 uses</x:v>
      </x:c>
      <x:c r="K11" s="51" t="str">
        <x:v>For 1 hour, the drinker can use a Bonus Action up to three times to exhale a 15-foot cone. Creatures in the cone make a Constitution saving throw, taking 3d6 thunder damage on a failed save or half as much on a success.</x:v>
      </x:c>
      <x:c r="L11" s="39" t="str">
        <x:v>Bonus Action to use or apply</x:v>
      </x:c>
    </x:row>
    <x:row r="12">
      <x:c r="A12" s="38" t="str">
        <x:v>Potions</x:v>
      </x:c>
      <x:c r="B12" s="51" t="str">
        <x:v>General Potions</x:v>
      </x:c>
      <x:c r="C12" s="51" t="str">
        <x:v>Antitoxin</x:v>
      </x:c>
      <x:c r="D12" s="51" t="str">
        <x:v>Common</x:v>
      </x:c>
      <x:c r="E12" s="51" t="n">
        <x:v>16</x:v>
      </x:c>
      <x:c r="F12" s="51" t="str">
        <x:v>Root</x:v>
      </x:c>
      <x:c r="G12" s="51" t="str">
        <x:v>Mineral / Salt / Ash</x:v>
      </x:c>
      <x:c r="H12" s="51" t="str">
        <x:v>Flower</x:v>
      </x:c>
      <x:c r="I12" s="51" t="str"/>
      <x:c r="J12" s="51" t="str">
        <x:v>1 hour</x:v>
      </x:c>
      <x:c r="K12" s="51" t="str">
        <x:v>The drinker has Advantage on saving throws against poison.</x:v>
      </x:c>
      <x:c r="L12" s="39" t="str">
        <x:v>Bonus Action to use or apply</x:v>
      </x:c>
    </x:row>
    <x:row r="13">
      <x:c r="A13" s="38" t="str">
        <x:v>Potions</x:v>
      </x:c>
      <x:c r="B13" s="51" t="str">
        <x:v>General Potions</x:v>
      </x:c>
      <x:c r="C13" s="51" t="str">
        <x:v>Healing Potion</x:v>
      </x:c>
      <x:c r="D13" s="51" t="str">
        <x:v>Common</x:v>
      </x:c>
      <x:c r="E13" s="51" t="n">
        <x:v>16</x:v>
      </x:c>
      <x:c r="F13" s="51" t="str">
        <x:v>Mushroom</x:v>
      </x:c>
      <x:c r="G13" s="51" t="str">
        <x:v>Mushroom</x:v>
      </x:c>
      <x:c r="H13" s="51" t="str">
        <x:v>Root</x:v>
      </x:c>
      <x:c r="I13" s="51" t="str"/>
      <x:c r="J13" s="51" t="str">
        <x:v>Instant</x:v>
      </x:c>
      <x:c r="K13" s="51" t="str">
        <x:v>The drinker regains 2d4 + 2 hit points. Ingredient bonuses scale both the dice and the attached flat modifier.</x:v>
      </x:c>
      <x:c r="L13" s="39" t="str">
        <x:v>Bonus Action to use or apply</x:v>
      </x:c>
    </x:row>
    <x:row r="14">
      <x:c r="A14" s="38" t="str">
        <x:v>Potions</x:v>
      </x:c>
      <x:c r="B14" s="51" t="str">
        <x:v>General Potions</x:v>
      </x:c>
      <x:c r="C14" s="51" t="str">
        <x:v>Philter of Love</x:v>
      </x:c>
      <x:c r="D14" s="51" t="str">
        <x:v>Uncommon</x:v>
      </x:c>
      <x:c r="E14" s="51" t="n">
        <x:v>22</x:v>
      </x:c>
      <x:c r="F14" s="51" t="str">
        <x:v>Flower</x:v>
      </x:c>
      <x:c r="G14" s="51" t="str">
        <x:v>Flower</x:v>
      </x:c>
      <x:c r="H14" s="51" t="str">
        <x:v>Sap / Resin</x:v>
      </x:c>
      <x:c r="I14" s="51" t="str"/>
      <x:c r="J14" s="51" t="str">
        <x:v>1 hour</x:v>
      </x:c>
      <x:c r="K14" s="51" t="str">
        <x:v>The drinker is charmed by the first creature they see shortly after drinking, by DM ruling.</x:v>
      </x:c>
      <x:c r="L14" s="39" t="str">
        <x:v>Bonus Action to use or apply</x:v>
      </x:c>
    </x:row>
    <x:row r="15">
      <x:c r="A15" s="38" t="str">
        <x:v>Potions</x:v>
      </x:c>
      <x:c r="B15" s="51" t="str">
        <x:v>General Potions</x:v>
      </x:c>
      <x:c r="C15" s="51" t="str">
        <x:v>Potion of Anchoring</x:v>
      </x:c>
      <x:c r="D15" s="51" t="str">
        <x:v>Uncommon</x:v>
      </x:c>
      <x:c r="E15" s="51" t="n">
        <x:v>22</x:v>
      </x:c>
      <x:c r="F15" s="51" t="str">
        <x:v>Thorn / Bark / Wood</x:v>
      </x:c>
      <x:c r="G15" s="51" t="str">
        <x:v>Root</x:v>
      </x:c>
      <x:c r="H15" s="51" t="str">
        <x:v>Sap / Resin</x:v>
      </x:c>
      <x:c r="I15" s="51" t="str"/>
      <x:c r="J15" s="51" t="str">
        <x:v>1 hour</x:v>
      </x:c>
      <x:c r="K15" s="51" t="str">
        <x:v>For 1 hour, the drinker has Advantage on checks and saving throws made to resist being moved, knocked Prone, or Grappled, and counts as one size larger when determining whether a creature or effect can move them.</x:v>
      </x:c>
      <x:c r="L15" s="39" t="str">
        <x:v>Bonus Action to use or apply</x:v>
      </x:c>
    </x:row>
    <x:row r="16">
      <x:c r="A16" s="38" t="str">
        <x:v>Potions</x:v>
      </x:c>
      <x:c r="B16" s="51" t="str">
        <x:v>General Potions</x:v>
      </x:c>
      <x:c r="C16" s="51" t="str">
        <x:v>Potion of Animal Friendship</x:v>
      </x:c>
      <x:c r="D16" s="51" t="str">
        <x:v>Uncommon</x:v>
      </x:c>
      <x:c r="E16" s="51" t="n">
        <x:v>22</x:v>
      </x:c>
      <x:c r="F16" s="51" t="str">
        <x:v>Flower</x:v>
      </x:c>
      <x:c r="G16" s="51" t="str">
        <x:v>Leaf / Vine</x:v>
      </x:c>
      <x:c r="H16" s="51" t="str">
        <x:v>Root</x:v>
      </x:c>
      <x:c r="I16" s="51" t="str"/>
      <x:c r="J16" s="51" t="str">
        <x:v>1 hour</x:v>
      </x:c>
      <x:c r="K16" s="51" t="str">
        <x:v>The drinker can cast Animal Friendship, with the save DC set by the potion or DM.</x:v>
      </x:c>
      <x:c r="L16" s="39" t="str">
        <x:v>Bonus Action to use or apply</x:v>
      </x:c>
    </x:row>
    <x:row r="17">
      <x:c r="A17" s="38" t="str">
        <x:v>Potions</x:v>
      </x:c>
      <x:c r="B17" s="51" t="str">
        <x:v>General Potions</x:v>
      </x:c>
      <x:c r="C17" s="51" t="str">
        <x:v>Potion of Breath</x:v>
      </x:c>
      <x:c r="D17" s="51" t="str">
        <x:v>Uncommon</x:v>
      </x:c>
      <x:c r="E17" s="51" t="n">
        <x:v>22</x:v>
      </x:c>
      <x:c r="F17" s="51" t="str">
        <x:v>Flower</x:v>
      </x:c>
      <x:c r="G17" s="51" t="str">
        <x:v>Sap / Resin</x:v>
      </x:c>
      <x:c r="H17" s="51" t="str">
        <x:v>Mineral / Salt / Ash</x:v>
      </x:c>
      <x:c r="I17" s="51" t="str"/>
      <x:c r="J17" s="51" t="str">
        <x:v>1 hour</x:v>
      </x:c>
      <x:c r="K17" s="51" t="str">
        <x:v>For 1 hour, the drinker does not need to breathe and can survive underwater, in an airless space, or in another environment where breathing is impossible.</x:v>
      </x:c>
      <x:c r="L17" s="39" t="str">
        <x:v>Bonus Action to use or apply</x:v>
      </x:c>
    </x:row>
    <x:row r="18">
      <x:c r="A18" s="38" t="str">
        <x:v>Potions</x:v>
      </x:c>
      <x:c r="B18" s="51" t="str">
        <x:v>General Potions</x:v>
      </x:c>
      <x:c r="C18" s="51" t="str">
        <x:v>Potion of Clairvoyance</x:v>
      </x:c>
      <x:c r="D18" s="51" t="str">
        <x:v>Rare</x:v>
      </x:c>
      <x:c r="E18" s="51" t="n">
        <x:v>28</x:v>
      </x:c>
      <x:c r="F18" s="51" t="str">
        <x:v>Flower</x:v>
      </x:c>
      <x:c r="G18" s="51" t="str">
        <x:v>Mineral / Salt / Ash</x:v>
      </x:c>
      <x:c r="H18" s="51" t="str">
        <x:v>Moss / Lichen</x:v>
      </x:c>
      <x:c r="I18" s="51" t="str"/>
      <x:c r="J18" s="51" t="str">
        <x:v>10 minutes</x:v>
      </x:c>
      <x:c r="K18" s="51" t="str">
        <x:v>The drinker gains the effect of Clairvoyance.</x:v>
      </x:c>
      <x:c r="L18" s="39" t="str">
        <x:v>Bonus Action to use or apply</x:v>
      </x:c>
    </x:row>
    <x:row r="19">
      <x:c r="A19" s="38" t="str">
        <x:v>Potions</x:v>
      </x:c>
      <x:c r="B19" s="51" t="str">
        <x:v>General Potions</x:v>
      </x:c>
      <x:c r="C19" s="51" t="str">
        <x:v>Potion of Comprehension</x:v>
      </x:c>
      <x:c r="D19" s="51" t="str">
        <x:v>Common</x:v>
      </x:c>
      <x:c r="E19" s="51" t="n">
        <x:v>16</x:v>
      </x:c>
      <x:c r="F19" s="51" t="str">
        <x:v>Flower</x:v>
      </x:c>
      <x:c r="G19" s="51" t="str">
        <x:v>Mineral / Salt / Ash</x:v>
      </x:c>
      <x:c r="H19" s="51" t="str">
        <x:v>Root</x:v>
      </x:c>
      <x:c r="I19" s="51" t="str"/>
      <x:c r="J19" s="51" t="str">
        <x:v>1 hour</x:v>
      </x:c>
      <x:c r="K19" s="51" t="str">
        <x:v>The drinker understands the literal meaning of spoken and written languages they perceive.</x:v>
      </x:c>
      <x:c r="L19" s="39" t="str">
        <x:v>Bonus Action to use or apply</x:v>
      </x:c>
    </x:row>
    <x:row r="20">
      <x:c r="A20" s="38" t="str">
        <x:v>Potions</x:v>
      </x:c>
      <x:c r="B20" s="51" t="str">
        <x:v>General Potions</x:v>
      </x:c>
      <x:c r="C20" s="51" t="str">
        <x:v>Potion of Diminution</x:v>
      </x:c>
      <x:c r="D20" s="51" t="str">
        <x:v>Rare</x:v>
      </x:c>
      <x:c r="E20" s="51" t="n">
        <x:v>28</x:v>
      </x:c>
      <x:c r="F20" s="51" t="str">
        <x:v>Mushroom</x:v>
      </x:c>
      <x:c r="G20" s="51" t="str">
        <x:v>Root</x:v>
      </x:c>
      <x:c r="H20" s="51" t="str">
        <x:v>Flower</x:v>
      </x:c>
      <x:c r="I20" s="51" t="str"/>
      <x:c r="J20" s="51" t="str">
        <x:v>1d4 hours</x:v>
      </x:c>
      <x:c r="K20" s="51" t="str">
        <x:v>For 1d4 hours, the drinker decreases by one size category. The drinker has Advantage on Dexterity checks and gains +1 AC per size category decreased. This potion does not impose Disadvantage on Strength checks or saves. Each complete Effect +100% adds one additional size-category decrease and another +1 AC.</x:v>
      </x:c>
      <x:c r="L20" s="39" t="str">
        <x:v>Bonus Action to use or apply</x:v>
      </x:c>
    </x:row>
    <x:row r="21">
      <x:c r="A21" s="38" t="str">
        <x:v>Potions</x:v>
      </x:c>
      <x:c r="B21" s="51" t="str">
        <x:v>General Potions</x:v>
      </x:c>
      <x:c r="C21" s="51" t="str">
        <x:v>Potion of Dragon's Majesty</x:v>
      </x:c>
      <x:c r="D21" s="51" t="str">
        <x:v>Legendary</x:v>
      </x:c>
      <x:c r="E21" s="51" t="n">
        <x:v>40</x:v>
      </x:c>
      <x:c r="F21" s="51" t="str">
        <x:v>Mushroom</x:v>
      </x:c>
      <x:c r="G21" s="51" t="str">
        <x:v>Thorn / Bark / Wood</x:v>
      </x:c>
      <x:c r="H21" s="51" t="str">
        <x:v>Mineral / Salt / Ash</x:v>
      </x:c>
      <x:c r="I21" s="51" t="str"/>
      <x:c r="J21" s="51" t="str">
        <x:v>1 hour</x:v>
      </x:c>
      <x:c r="K21" s="51" t="str">
        <x:v>The drinker transforms or gains draconic majesty by DM ruling, often including flight, breath, or imposing presence.</x:v>
      </x:c>
      <x:c r="L21" s="39" t="str">
        <x:v>Bonus Action to use or apply</x:v>
      </x:c>
    </x:row>
    <x:row r="22">
      <x:c r="A22" s="38" t="str">
        <x:v>Potions</x:v>
      </x:c>
      <x:c r="B22" s="51" t="str">
        <x:v>General Potions</x:v>
      </x:c>
      <x:c r="C22" s="51" t="str">
        <x:v>Potion of Flying</x:v>
      </x:c>
      <x:c r="D22" s="51" t="str">
        <x:v>Very Rare</x:v>
      </x:c>
      <x:c r="E22" s="51" t="n">
        <x:v>34</x:v>
      </x:c>
      <x:c r="F22" s="51" t="str">
        <x:v>Leaf / Vine</x:v>
      </x:c>
      <x:c r="G22" s="51" t="str">
        <x:v>Flower</x:v>
      </x:c>
      <x:c r="H22" s="51" t="str">
        <x:v>Sap / Resin</x:v>
      </x:c>
      <x:c r="I22" s="51" t="str"/>
      <x:c r="J22" s="51" t="str">
        <x:v>1 hour</x:v>
      </x:c>
      <x:c r="K22" s="51" t="str">
        <x:v>For 1 hour, the drinker gains a flying speed equal to walking speed and can hover. Effect bonuses increase the flying speed by the same percentage.</x:v>
      </x:c>
      <x:c r="L22" s="39" t="str">
        <x:v>Bonus Action to use or apply</x:v>
      </x:c>
    </x:row>
    <x:row r="23">
      <x:c r="A23" s="38" t="str">
        <x:v>Potions</x:v>
      </x:c>
      <x:c r="B23" s="51" t="str">
        <x:v>General Potions</x:v>
      </x:c>
      <x:c r="C23" s="51" t="str">
        <x:v>Potion of Gaseous Form</x:v>
      </x:c>
      <x:c r="D23" s="51" t="str">
        <x:v>Rare</x:v>
      </x:c>
      <x:c r="E23" s="51" t="n">
        <x:v>28</x:v>
      </x:c>
      <x:c r="F23" s="51" t="str">
        <x:v>Leaf / Vine</x:v>
      </x:c>
      <x:c r="G23" s="51" t="str">
        <x:v>Flower</x:v>
      </x:c>
      <x:c r="H23" s="51" t="str">
        <x:v>Mineral / Salt / Ash</x:v>
      </x:c>
      <x:c r="I23" s="51" t="str"/>
      <x:c r="J23" s="51" t="str">
        <x:v>1 hour</x:v>
      </x:c>
      <x:c r="K23" s="51" t="str">
        <x:v>The drinker gains the effect of Gaseous Form.</x:v>
      </x:c>
      <x:c r="L23" s="39" t="str">
        <x:v>Bonus Action to use or apply</x:v>
      </x:c>
    </x:row>
    <x:row r="24">
      <x:c r="A24" s="38" t="str">
        <x:v>Potions</x:v>
      </x:c>
      <x:c r="B24" s="51" t="str">
        <x:v>General Potions</x:v>
      </x:c>
      <x:c r="C24" s="51" t="str">
        <x:v>Potion of Growth</x:v>
      </x:c>
      <x:c r="D24" s="51" t="str">
        <x:v>Uncommon</x:v>
      </x:c>
      <x:c r="E24" s="51" t="n">
        <x:v>22</x:v>
      </x:c>
      <x:c r="F24" s="51" t="str">
        <x:v>Root</x:v>
      </x:c>
      <x:c r="G24" s="51" t="str">
        <x:v>Thorn / Bark / Wood</x:v>
      </x:c>
      <x:c r="H24" s="51" t="str">
        <x:v>Mushroom</x:v>
      </x:c>
      <x:c r="I24" s="51" t="str"/>
      <x:c r="J24" s="51" t="str">
        <x:v>1d4 hours</x:v>
      </x:c>
      <x:c r="K24" s="51" t="str">
        <x:v>For 1d4 hours, the drinker increases by one size category. The drinker has Advantage on Strength checks and Strength saving throws, and weapon or Unarmed Strike hits deal an extra 1d4 damage per size category increased. Each complete Effect +100% adds one additional size-category increase and another 1d4.</x:v>
      </x:c>
      <x:c r="L24" s="39" t="str">
        <x:v>Bonus Action to use or apply</x:v>
      </x:c>
    </x:row>
    <x:row r="25">
      <x:c r="A25" s="38" t="str">
        <x:v>Potions</x:v>
      </x:c>
      <x:c r="B25" s="51" t="str">
        <x:v>General Potions</x:v>
      </x:c>
      <x:c r="C25" s="51" t="str">
        <x:v>Potion of Heroism</x:v>
      </x:c>
      <x:c r="D25" s="51" t="str">
        <x:v>Rare</x:v>
      </x:c>
      <x:c r="E25" s="51" t="n">
        <x:v>28</x:v>
      </x:c>
      <x:c r="F25" s="51" t="str">
        <x:v>Root</x:v>
      </x:c>
      <x:c r="G25" s="51" t="str">
        <x:v>Flower</x:v>
      </x:c>
      <x:c r="H25" s="51" t="str">
        <x:v>Thorn / Bark / Wood</x:v>
      </x:c>
      <x:c r="I25" s="51" t="str">
        <x:v>Radiant, Holy</x:v>
      </x:c>
      <x:c r="J25" s="51" t="str">
        <x:v>1 hour</x:v>
      </x:c>
      <x:c r="K25" s="51" t="str">
        <x:v>The drinker gains 1d10 temporary hit points and is affected by Bless for 1 hour.</x:v>
      </x:c>
      <x:c r="L25" s="39" t="str">
        <x:v>Bonus Action to use or apply</x:v>
      </x:c>
    </x:row>
    <x:row r="26">
      <x:c r="A26" s="38" t="str">
        <x:v>Potions</x:v>
      </x:c>
      <x:c r="B26" s="51" t="str">
        <x:v>General Potions</x:v>
      </x:c>
      <x:c r="C26" s="51" t="str">
        <x:v>Potion of Invisibility</x:v>
      </x:c>
      <x:c r="D26" s="51" t="str">
        <x:v>Very Rare</x:v>
      </x:c>
      <x:c r="E26" s="51" t="n">
        <x:v>34</x:v>
      </x:c>
      <x:c r="F26" s="51" t="str">
        <x:v>Moss / Lichen</x:v>
      </x:c>
      <x:c r="G26" s="51" t="str">
        <x:v>Flower</x:v>
      </x:c>
      <x:c r="H26" s="51" t="str">
        <x:v>Leaf / Vine</x:v>
      </x:c>
      <x:c r="I26" s="51" t="str"/>
      <x:c r="J26" s="51" t="str">
        <x:v>1 hour</x:v>
      </x:c>
      <x:c r="K26" s="51" t="str">
        <x:v>The drinker becomes invisible until they attack, cast a spell, or the duration ends.</x:v>
      </x:c>
      <x:c r="L26" s="39" t="str">
        <x:v>Bonus Action to use or apply</x:v>
      </x:c>
    </x:row>
    <x:row r="27">
      <x:c r="A27" s="38" t="str">
        <x:v>Potions</x:v>
      </x:c>
      <x:c r="B27" s="51" t="str">
        <x:v>General Potions</x:v>
      </x:c>
      <x:c r="C27" s="51" t="str">
        <x:v>Potion of Invulnerability</x:v>
      </x:c>
      <x:c r="D27" s="51" t="str">
        <x:v>Legendary</x:v>
      </x:c>
      <x:c r="E27" s="51" t="n">
        <x:v>40</x:v>
      </x:c>
      <x:c r="F27" s="51" t="str">
        <x:v>Thorn / Bark / Wood</x:v>
      </x:c>
      <x:c r="G27" s="51" t="str">
        <x:v>Root</x:v>
      </x:c>
      <x:c r="H27" s="51" t="str">
        <x:v>Mineral / Salt / Ash</x:v>
      </x:c>
      <x:c r="I27" s="51" t="str"/>
      <x:c r="J27" s="51" t="str">
        <x:v>1 day</x:v>
      </x:c>
      <x:c r="K27" s="51" t="str">
        <x:v>For 1 day, the drinker has resistance to all damage.</x:v>
      </x:c>
      <x:c r="L27" s="39" t="str">
        <x:v>Bonus Action to use or apply</x:v>
      </x:c>
    </x:row>
    <x:row r="28">
      <x:c r="A28" s="38" t="str">
        <x:v>Potions</x:v>
      </x:c>
      <x:c r="B28" s="51" t="str">
        <x:v>General Potions</x:v>
      </x:c>
      <x:c r="C28" s="51" t="str">
        <x:v>Potion of Mind Reading</x:v>
      </x:c>
      <x:c r="D28" s="51" t="str">
        <x:v>Rare</x:v>
      </x:c>
      <x:c r="E28" s="51" t="n">
        <x:v>28</x:v>
      </x:c>
      <x:c r="F28" s="51" t="str">
        <x:v>Flower</x:v>
      </x:c>
      <x:c r="G28" s="51" t="str">
        <x:v>Mineral / Salt / Ash</x:v>
      </x:c>
      <x:c r="H28" s="51" t="str">
        <x:v>Moss / Lichen</x:v>
      </x:c>
      <x:c r="I28" s="51" t="str"/>
      <x:c r="J28" s="51" t="str">
        <x:v>1 hour</x:v>
      </x:c>
      <x:c r="K28" s="51" t="str">
        <x:v>The drinker gains the effect of Detect Thoughts.</x:v>
      </x:c>
      <x:c r="L28" s="39" t="str">
        <x:v>Bonus Action to use or apply</x:v>
      </x:c>
    </x:row>
    <x:row r="29">
      <x:c r="A29" s="38" t="str">
        <x:v>Potions</x:v>
      </x:c>
      <x:c r="B29" s="51" t="str">
        <x:v>General Potions</x:v>
      </x:c>
      <x:c r="C29" s="51" t="str">
        <x:v>Potion of Night Vision</x:v>
      </x:c>
      <x:c r="D29" s="51" t="str">
        <x:v>Uncommon</x:v>
      </x:c>
      <x:c r="E29" s="51" t="n">
        <x:v>22</x:v>
      </x:c>
      <x:c r="F29" s="51" t="str">
        <x:v>Flower</x:v>
      </x:c>
      <x:c r="G29" s="51" t="str">
        <x:v>Moss / Lichen</x:v>
      </x:c>
      <x:c r="H29" s="51" t="str">
        <x:v>Mineral / Salt / Ash</x:v>
      </x:c>
      <x:c r="I29" s="51" t="str"/>
      <x:c r="J29" s="51" t="str">
        <x:v>1 hour</x:v>
      </x:c>
      <x:c r="K29" s="51" t="str">
        <x:v>For 1 hour, the drinker gains darkvision out to 60 feet. Effect bonuses increase the darkvision range by the same percentage.</x:v>
      </x:c>
      <x:c r="L29" s="39" t="str">
        <x:v>Bonus Action to use or apply</x:v>
      </x:c>
    </x:row>
    <x:row r="30">
      <x:c r="A30" s="38" t="str">
        <x:v>Potions</x:v>
      </x:c>
      <x:c r="B30" s="51" t="str">
        <x:v>General Potions</x:v>
      </x:c>
      <x:c r="C30" s="51" t="str">
        <x:v>Potion of Physical Prowess</x:v>
      </x:c>
      <x:c r="D30" s="51" t="str">
        <x:v>Common</x:v>
      </x:c>
      <x:c r="E30" s="51" t="n">
        <x:v>16</x:v>
      </x:c>
      <x:c r="F30" s="51" t="str">
        <x:v>Leaf / Vine</x:v>
      </x:c>
      <x:c r="G30" s="51" t="str">
        <x:v>Moss / Lichen</x:v>
      </x:c>
      <x:c r="H30" s="51" t="str">
        <x:v>Root</x:v>
      </x:c>
      <x:c r="I30" s="51" t="str"/>
      <x:c r="J30" s="51" t="str">
        <x:v>1 hour</x:v>
      </x:c>
      <x:c r="K30" s="51" t="str">
        <x:v>For 1 hour, the drinker has Advantage on Strength-, Dexterity-, and Constitution-based ability checks and gains a climbing speed equal to walking speed. Every complete Effect +100% adds +1 to those checks.</x:v>
      </x:c>
      <x:c r="L30" s="39" t="str">
        <x:v>Bonus Action to use or apply</x:v>
      </x:c>
    </x:row>
    <x:row r="31">
      <x:c r="A31" s="38" t="str">
        <x:v>Potions</x:v>
      </x:c>
      <x:c r="B31" s="51" t="str">
        <x:v>General Potions</x:v>
      </x:c>
      <x:c r="C31" s="51" t="str">
        <x:v>Potion of Quickstep</x:v>
      </x:c>
      <x:c r="D31" s="51" t="str">
        <x:v>Uncommon</x:v>
      </x:c>
      <x:c r="E31" s="51" t="n">
        <x:v>22</x:v>
      </x:c>
      <x:c r="F31" s="51" t="str">
        <x:v>Leaf / Vine</x:v>
      </x:c>
      <x:c r="G31" s="51" t="str">
        <x:v>Flower</x:v>
      </x:c>
      <x:c r="H31" s="51" t="str">
        <x:v>Sap / Resin</x:v>
      </x:c>
      <x:c r="I31" s="51" t="str"/>
      <x:c r="J31" s="51" t="str">
        <x:v>1 minute</x:v>
      </x:c>
      <x:c r="K31" s="51" t="str">
        <x:v>For 1 minute, the drinker can use Misty Step as a Bonus Action on each of their turns without expending a spell slot or components.</x:v>
      </x:c>
      <x:c r="L31" s="39" t="str">
        <x:v>Bonus Action to use or apply</x:v>
      </x:c>
    </x:row>
    <x:row r="32">
      <x:c r="A32" s="38" t="str">
        <x:v>Potions</x:v>
      </x:c>
      <x:c r="B32" s="51" t="str">
        <x:v>General Potions</x:v>
      </x:c>
      <x:c r="C32" s="51" t="str">
        <x:v>Potion of Regeneration</x:v>
      </x:c>
      <x:c r="D32" s="51" t="str">
        <x:v>Rare</x:v>
      </x:c>
      <x:c r="E32" s="51" t="n">
        <x:v>28</x:v>
      </x:c>
      <x:c r="F32" s="51" t="str">
        <x:v>Mushroom</x:v>
      </x:c>
      <x:c r="G32" s="51" t="str">
        <x:v>Sap / Resin</x:v>
      </x:c>
      <x:c r="H32" s="51" t="str">
        <x:v>Root</x:v>
      </x:c>
      <x:c r="I32" s="51" t="str"/>
      <x:c r="J32" s="51" t="str">
        <x:v>1 minute</x:v>
      </x:c>
      <x:c r="K32" s="51" t="str">
        <x:v>At the start of each of the drinker's turns, the drinker regains 1d4 HP for the duration.</x:v>
      </x:c>
      <x:c r="L32" s="39" t="str">
        <x:v>Bonus Action to use or apply</x:v>
      </x:c>
    </x:row>
    <x:row r="33">
      <x:c r="A33" s="38" t="str">
        <x:v>Potions</x:v>
      </x:c>
      <x:c r="B33" s="51" t="str">
        <x:v>General Potions</x:v>
      </x:c>
      <x:c r="C33" s="51" t="str">
        <x:v>Potion of Speed</x:v>
      </x:c>
      <x:c r="D33" s="51" t="str">
        <x:v>Very Rare</x:v>
      </x:c>
      <x:c r="E33" s="51" t="n">
        <x:v>34</x:v>
      </x:c>
      <x:c r="F33" s="51" t="str">
        <x:v>Leaf / Vine</x:v>
      </x:c>
      <x:c r="G33" s="51" t="str">
        <x:v>Flower</x:v>
      </x:c>
      <x:c r="H33" s="51" t="str">
        <x:v>Sap / Resin</x:v>
      </x:c>
      <x:c r="I33" s="51" t="str"/>
      <x:c r="J33" s="51" t="str">
        <x:v>1 minute</x:v>
      </x:c>
      <x:c r="K33" s="51" t="str">
        <x:v>The drinker gains the effect of Haste.</x:v>
      </x:c>
      <x:c r="L33" s="39" t="str">
        <x:v>Bonus Action to use or apply</x:v>
      </x:c>
    </x:row>
    <x:row r="34">
      <x:c r="A34" s="38" t="str">
        <x:v>Potions</x:v>
      </x:c>
      <x:c r="B34" s="51" t="str">
        <x:v>General Potions</x:v>
      </x:c>
      <x:c r="C34" s="51" t="str">
        <x:v>Potion of Storm Giant Transformation</x:v>
      </x:c>
      <x:c r="D34" s="51" t="str">
        <x:v>Legendary</x:v>
      </x:c>
      <x:c r="E34" s="51" t="n">
        <x:v>40</x:v>
      </x:c>
      <x:c r="F34" s="51" t="str">
        <x:v>Root</x:v>
      </x:c>
      <x:c r="G34" s="51" t="str">
        <x:v>Thorn / Bark / Wood</x:v>
      </x:c>
      <x:c r="H34" s="51" t="str">
        <x:v>Mushroom</x:v>
      </x:c>
      <x:c r="I34" s="51" t="str">
        <x:v>Required: Storm, Required: Giant</x:v>
      </x:c>
      <x:c r="J34" s="51" t="str">
        <x:v>1 day</x:v>
      </x:c>
      <x:c r="K34" s="51" t="str">
        <x:v>For 1 day, the drinker becomes Huge and their Strength becomes 29 unless it is already higher. A Huge creature occupies a 15-by-15-foot space.</x:v>
      </x:c>
      <x:c r="L34" s="39" t="str">
        <x:v>Bonus Action to use or apply</x:v>
      </x:c>
    </x:row>
    <x:row r="35">
      <x:c r="A35" s="38" t="str">
        <x:v>Potions</x:v>
      </x:c>
      <x:c r="B35" s="51" t="str">
        <x:v>General Potions</x:v>
      </x:c>
      <x:c r="C35" s="51" t="str">
        <x:v>Potion of Watchful Rest</x:v>
      </x:c>
      <x:c r="D35" s="51" t="str">
        <x:v>Common</x:v>
      </x:c>
      <x:c r="E35" s="51" t="n">
        <x:v>16</x:v>
      </x:c>
      <x:c r="F35" s="51" t="str">
        <x:v>Flower</x:v>
      </x:c>
      <x:c r="G35" s="51" t="str">
        <x:v>Moss / Lichen</x:v>
      </x:c>
      <x:c r="H35" s="51" t="str">
        <x:v>Root</x:v>
      </x:c>
      <x:c r="I35" s="51" t="str"/>
      <x:c r="J35" s="51" t="str">
        <x:v>8 hours</x:v>
      </x:c>
      <x:c r="K35" s="51" t="str">
        <x:v>The drinker remains alert during rest and can avoid the worst effects of magical sleep by DM ruling.</x:v>
      </x:c>
      <x:c r="L35" s="39" t="str">
        <x:v>Bonus Action to use or apply</x:v>
      </x:c>
    </x:row>
    <x:row r="36">
      <x:c r="A36" s="38" t="str">
        <x:v>Poisons</x:v>
      </x:c>
      <x:c r="B36" s="51" t="str">
        <x:v>Ability Poisons</x:v>
      </x:c>
      <x:c r="C36" s="51" t="str">
        <x:v>Poison of Charisma Weakening</x:v>
      </x:c>
      <x:c r="D36" s="51" t="str">
        <x:v>Rare</x:v>
      </x:c>
      <x:c r="E36" s="51" t="n">
        <x:v>28</x:v>
      </x:c>
      <x:c r="F36" s="51" t="str">
        <x:v>Venom / Poison Plant</x:v>
      </x:c>
      <x:c r="G36" s="51" t="str">
        <x:v>Flower</x:v>
      </x:c>
      <x:c r="H36" s="51" t="str">
        <x:v>Sap / Resin</x:v>
      </x:c>
      <x:c r="I36" s="51" t="str"/>
      <x:c r="J36" s="51" t="str">
        <x:v>1 hour</x:v>
      </x:c>
      <x:c r="K36" s="51" t="str">
        <x:v>The target chooses Constitution or Charisma before rolling. On a failed save, Charisma is reduced by 1d6 temporarily.</x:v>
      </x:c>
      <x:c r="L36" s="39" t="str">
        <x:v>Bonus Action to use or apply</x:v>
      </x:c>
    </x:row>
    <x:row r="37">
      <x:c r="A37" s="38" t="str">
        <x:v>Poisons</x:v>
      </x:c>
      <x:c r="B37" s="51" t="str">
        <x:v>Ability Poisons</x:v>
      </x:c>
      <x:c r="C37" s="51" t="str">
        <x:v>Poison of Constitution Weakening</x:v>
      </x:c>
      <x:c r="D37" s="51" t="str">
        <x:v>Rare</x:v>
      </x:c>
      <x:c r="E37" s="51" t="n">
        <x:v>28</x:v>
      </x:c>
      <x:c r="F37" s="51" t="str">
        <x:v>Venom / Poison Plant</x:v>
      </x:c>
      <x:c r="G37" s="51" t="str">
        <x:v>Mushroom</x:v>
      </x:c>
      <x:c r="H37" s="51" t="str">
        <x:v>Root</x:v>
      </x:c>
      <x:c r="I37" s="51" t="str"/>
      <x:c r="J37" s="51" t="str">
        <x:v>1 hour</x:v>
      </x:c>
      <x:c r="K37" s="51" t="str">
        <x:v>The target chooses Constitution or Constitution before rolling. On a failed save, Constitution is reduced by 1d6 temporarily.</x:v>
      </x:c>
      <x:c r="L37" s="39" t="str">
        <x:v>Bonus Action to use or apply</x:v>
      </x:c>
    </x:row>
    <x:row r="38">
      <x:c r="A38" s="38" t="str">
        <x:v>Poisons</x:v>
      </x:c>
      <x:c r="B38" s="51" t="str">
        <x:v>Ability Poisons</x:v>
      </x:c>
      <x:c r="C38" s="51" t="str">
        <x:v>Poison of Dexterity Weakening</x:v>
      </x:c>
      <x:c r="D38" s="51" t="str">
        <x:v>Rare</x:v>
      </x:c>
      <x:c r="E38" s="51" t="n">
        <x:v>28</x:v>
      </x:c>
      <x:c r="F38" s="51" t="str">
        <x:v>Venom / Poison Plant</x:v>
      </x:c>
      <x:c r="G38" s="51" t="str">
        <x:v>Leaf / Vine</x:v>
      </x:c>
      <x:c r="H38" s="51" t="str">
        <x:v>Flower</x:v>
      </x:c>
      <x:c r="I38" s="51" t="str"/>
      <x:c r="J38" s="51" t="str">
        <x:v>1 hour</x:v>
      </x:c>
      <x:c r="K38" s="51" t="str">
        <x:v>The target chooses Constitution or Dexterity before rolling. On a failed save, Dexterity is reduced by 1d6 temporarily.</x:v>
      </x:c>
      <x:c r="L38" s="39" t="str">
        <x:v>Bonus Action to use or apply</x:v>
      </x:c>
    </x:row>
    <x:row r="39">
      <x:c r="A39" s="38" t="str">
        <x:v>Poisons</x:v>
      </x:c>
      <x:c r="B39" s="51" t="str">
        <x:v>Ability Poisons</x:v>
      </x:c>
      <x:c r="C39" s="51" t="str">
        <x:v>Poison of Intelligence Weakening</x:v>
      </x:c>
      <x:c r="D39" s="51" t="str">
        <x:v>Rare</x:v>
      </x:c>
      <x:c r="E39" s="51" t="n">
        <x:v>28</x:v>
      </x:c>
      <x:c r="F39" s="51" t="str">
        <x:v>Venom / Poison Plant</x:v>
      </x:c>
      <x:c r="G39" s="51" t="str">
        <x:v>Flower</x:v>
      </x:c>
      <x:c r="H39" s="51" t="str">
        <x:v>Mineral / Salt / Ash</x:v>
      </x:c>
      <x:c r="I39" s="51" t="str"/>
      <x:c r="J39" s="51" t="str">
        <x:v>1 hour</x:v>
      </x:c>
      <x:c r="K39" s="51" t="str">
        <x:v>The target chooses Constitution or Intelligence before rolling. On a failed save, Intelligence is reduced by 1d6 temporarily.</x:v>
      </x:c>
      <x:c r="L39" s="39" t="str">
        <x:v>Bonus Action to use or apply</x:v>
      </x:c>
    </x:row>
    <x:row r="40">
      <x:c r="A40" s="38" t="str">
        <x:v>Poisons</x:v>
      </x:c>
      <x:c r="B40" s="51" t="str">
        <x:v>Ability Poisons</x:v>
      </x:c>
      <x:c r="C40" s="51" t="str">
        <x:v>Poison of Strength Weakening</x:v>
      </x:c>
      <x:c r="D40" s="51" t="str">
        <x:v>Rare</x:v>
      </x:c>
      <x:c r="E40" s="51" t="n">
        <x:v>28</x:v>
      </x:c>
      <x:c r="F40" s="51" t="str">
        <x:v>Venom / Poison Plant</x:v>
      </x:c>
      <x:c r="G40" s="51" t="str">
        <x:v>Root</x:v>
      </x:c>
      <x:c r="H40" s="51" t="str">
        <x:v>Thorn / Bark / Wood</x:v>
      </x:c>
      <x:c r="I40" s="51" t="str"/>
      <x:c r="J40" s="51" t="str">
        <x:v>1 hour</x:v>
      </x:c>
      <x:c r="K40" s="51" t="str">
        <x:v>The target chooses Constitution or Strength before rolling. On a failed save, Strength is reduced by 1d6 temporarily.</x:v>
      </x:c>
      <x:c r="L40" s="39" t="str">
        <x:v>Bonus Action to use or apply</x:v>
      </x:c>
    </x:row>
    <x:row r="41">
      <x:c r="A41" s="38" t="str">
        <x:v>Poisons</x:v>
      </x:c>
      <x:c r="B41" s="51" t="str">
        <x:v>Ability Poisons</x:v>
      </x:c>
      <x:c r="C41" s="51" t="str">
        <x:v>Poison of Wisdom Weakening</x:v>
      </x:c>
      <x:c r="D41" s="51" t="str">
        <x:v>Rare</x:v>
      </x:c>
      <x:c r="E41" s="51" t="n">
        <x:v>28</x:v>
      </x:c>
      <x:c r="F41" s="51" t="str">
        <x:v>Venom / Poison Plant</x:v>
      </x:c>
      <x:c r="G41" s="51" t="str">
        <x:v>Moss / Lichen</x:v>
      </x:c>
      <x:c r="H41" s="51" t="str">
        <x:v>Flower</x:v>
      </x:c>
      <x:c r="I41" s="51" t="str"/>
      <x:c r="J41" s="51" t="str">
        <x:v>1 hour</x:v>
      </x:c>
      <x:c r="K41" s="51" t="str">
        <x:v>The target chooses Constitution or Wisdom before rolling. On a failed save, Wisdom is reduced by 1d6 temporarily.</x:v>
      </x:c>
      <x:c r="L41" s="39" t="str">
        <x:v>Bonus Action to use or apply</x:v>
      </x:c>
    </x:row>
    <x:row r="42">
      <x:c r="A42" s="38" t="str">
        <x:v>Poisons</x:v>
      </x:c>
      <x:c r="B42" s="51" t="str">
        <x:v>Special Poisons</x:v>
      </x:c>
      <x:c r="C42" s="51" t="str">
        <x:v>Basic Poison</x:v>
      </x:c>
      <x:c r="D42" s="51" t="str">
        <x:v>Common</x:v>
      </x:c>
      <x:c r="E42" s="51" t="n">
        <x:v>16</x:v>
      </x:c>
      <x:c r="F42" s="51" t="str">
        <x:v>Venom / Poison Plant</x:v>
      </x:c>
      <x:c r="G42" s="51" t="str">
        <x:v>Mushroom</x:v>
      </x:c>
      <x:c r="H42" s="51" t="str">
        <x:v>Root</x:v>
      </x:c>
      <x:c r="I42" s="51" t="str"/>
      <x:c r="J42" s="51" t="str">
        <x:v>1 minute after application</x:v>
      </x:c>
      <x:c r="K42" s="51" t="str">
        <x:v>A creature hit by the coated weapon or ammunition must make a Constitution save or take poison damage, per DM ruling.</x:v>
      </x:c>
      <x:c r="L42" s="39" t="str">
        <x:v>Bonus Action to use or apply</x:v>
      </x:c>
    </x:row>
    <x:row r="43">
      <x:c r="A43" s="38" t="str">
        <x:v>Poisons</x:v>
      </x:c>
      <x:c r="B43" s="51" t="str">
        <x:v>Special Poisons</x:v>
      </x:c>
      <x:c r="C43" s="51" t="str">
        <x:v>Mindfog Poison</x:v>
      </x:c>
      <x:c r="D43" s="51" t="str">
        <x:v>Rare</x:v>
      </x:c>
      <x:c r="E43" s="51" t="n">
        <x:v>28</x:v>
      </x:c>
      <x:c r="F43" s="51" t="str">
        <x:v>Venom / Poison Plant</x:v>
      </x:c>
      <x:c r="G43" s="51" t="str">
        <x:v>Flower</x:v>
      </x:c>
      <x:c r="H43" s="51" t="str">
        <x:v>Moss / Lichen</x:v>
      </x:c>
      <x:c r="I43" s="51" t="str"/>
      <x:c r="J43" s="51" t="str">
        <x:v>1 minute</x:v>
      </x:c>
      <x:c r="K43" s="51" t="str">
        <x:v>The target makes a Wisdom saving throw. On a failure, it is Confused for 1 minute and repeats the save at the end of each turn.</x:v>
      </x:c>
      <x:c r="L43" s="39" t="str">
        <x:v>Bonus Action to use or apply</x:v>
      </x:c>
    </x:row>
    <x:row r="44">
      <x:c r="A44" s="38" t="str">
        <x:v>Poisons</x:v>
      </x:c>
      <x:c r="B44" s="51" t="str">
        <x:v>Special Poisons</x:v>
      </x:c>
      <x:c r="C44" s="51" t="str">
        <x:v>Paralytic Venom</x:v>
      </x:c>
      <x:c r="D44" s="51" t="str">
        <x:v>Rare</x:v>
      </x:c>
      <x:c r="E44" s="51" t="n">
        <x:v>28</x:v>
      </x:c>
      <x:c r="F44" s="51" t="str">
        <x:v>Venom / Poison Plant</x:v>
      </x:c>
      <x:c r="G44" s="51" t="str">
        <x:v>Root</x:v>
      </x:c>
      <x:c r="H44" s="51" t="str">
        <x:v>Flower</x:v>
      </x:c>
      <x:c r="I44" s="51" t="str"/>
      <x:c r="J44" s="51" t="str">
        <x:v>1 minute</x:v>
      </x:c>
      <x:c r="K44" s="51" t="str">
        <x:v>The target makes a Constitution saving throw. On a failure, it is Paralyzed for 1 minute and repeats the save at the end of each turn.</x:v>
      </x:c>
      <x:c r="L44" s="39" t="str">
        <x:v>Bonus Action to use or apply</x:v>
      </x:c>
    </x:row>
    <x:row r="45">
      <x:c r="A45" s="38" t="str">
        <x:v>Poisons</x:v>
      </x:c>
      <x:c r="B45" s="51" t="str">
        <x:v>Special Poisons</x:v>
      </x:c>
      <x:c r="C45" s="51" t="str">
        <x:v>Purple Worm Poison</x:v>
      </x:c>
      <x:c r="D45" s="51" t="str">
        <x:v>Very Rare</x:v>
      </x:c>
      <x:c r="E45" s="51" t="n">
        <x:v>34</x:v>
      </x:c>
      <x:c r="F45" s="51" t="str">
        <x:v>Venom / Poison Plant</x:v>
      </x:c>
      <x:c r="G45" s="51" t="str">
        <x:v>Root</x:v>
      </x:c>
      <x:c r="H45" s="51" t="str">
        <x:v>Sap / Resin</x:v>
      </x:c>
      <x:c r="I45" s="51" t="str"/>
      <x:c r="J45" s="51" t="str">
        <x:v>Until delivered</x:v>
      </x:c>
      <x:c r="K45" s="51" t="str">
        <x:v>A creature exposed to the poison makes a Constitution save or takes heavy poison damage.</x:v>
      </x:c>
      <x:c r="L45" s="39" t="str">
        <x:v>Bonus Action to use or apply</x:v>
      </x:c>
    </x:row>
    <x:row r="46">
      <x:c r="A46" s="38" t="str">
        <x:v>Poisons</x:v>
      </x:c>
      <x:c r="B46" s="51" t="str">
        <x:v>Special Poisons</x:v>
      </x:c>
      <x:c r="C46" s="51" t="str">
        <x:v>Siren's Whisper Poison</x:v>
      </x:c>
      <x:c r="D46" s="51" t="str">
        <x:v>Rare</x:v>
      </x:c>
      <x:c r="E46" s="51" t="n">
        <x:v>28</x:v>
      </x:c>
      <x:c r="F46" s="51" t="str">
        <x:v>Venom / Poison Plant</x:v>
      </x:c>
      <x:c r="G46" s="51" t="str">
        <x:v>Flower</x:v>
      </x:c>
      <x:c r="H46" s="51" t="str">
        <x:v>Sap / Resin</x:v>
      </x:c>
      <x:c r="I46" s="51" t="str"/>
      <x:c r="J46" s="51" t="str">
        <x:v>1 minute</x:v>
      </x:c>
      <x:c r="K46" s="51" t="str">
        <x:v>The target makes a Wisdom saving throw. On a failure, it is Charmed for 1 minute. The effect ends early if the target is harmed by the charmer or the charmer's allies.</x:v>
      </x:c>
      <x:c r="L46" s="39" t="str">
        <x:v>Bonus Action to use or apply</x:v>
      </x:c>
    </x:row>
    <x:row r="47">
      <x:c r="A47" s="38" t="str">
        <x:v>Poisons</x:v>
      </x:c>
      <x:c r="B47" s="51" t="str">
        <x:v>Special Poisons</x:v>
      </x:c>
      <x:c r="C47" s="51" t="str">
        <x:v>Stoneblood Toxin</x:v>
      </x:c>
      <x:c r="D47" s="51" t="str">
        <x:v>Very Rare</x:v>
      </x:c>
      <x:c r="E47" s="51" t="n">
        <x:v>34</x:v>
      </x:c>
      <x:c r="F47" s="51" t="str">
        <x:v>Venom / Poison Plant</x:v>
      </x:c>
      <x:c r="G47" s="51" t="str">
        <x:v>Mineral / Salt / Ash</x:v>
      </x:c>
      <x:c r="H47" s="51" t="str">
        <x:v>Root</x:v>
      </x:c>
      <x:c r="I47" s="51" t="str"/>
      <x:c r="J47" s="51" t="str">
        <x:v>1 minute</x:v>
      </x:c>
      <x:c r="K47" s="51" t="str">
        <x:v>The target makes a Constitution saving throw. On a failure, it is Petrified for 1 minute and repeats the save at the end of each turn.</x:v>
      </x:c>
      <x:c r="L47" s="39" t="str">
        <x:v>Bonus Action to use or apply</x:v>
      </x:c>
    </x:row>
    <x:row r="48">
      <x:c r="A48" s="38" t="str">
        <x:v>Bombs</x:v>
      </x:c>
      <x:c r="B48" s="51" t="str">
        <x:v>Condition Bombs</x:v>
      </x:c>
      <x:c r="C48" s="51" t="str">
        <x:v>Bomb of Blindness</x:v>
      </x:c>
      <x:c r="D48" s="51" t="str">
        <x:v>Uncommon</x:v>
      </x:c>
      <x:c r="E48" s="51" t="n">
        <x:v>22</x:v>
      </x:c>
      <x:c r="F48" s="51" t="str">
        <x:v>Mineral / Salt / Ash</x:v>
      </x:c>
      <x:c r="G48" s="51" t="str">
        <x:v>Flower</x:v>
      </x:c>
      <x:c r="H48" s="51" t="str">
        <x:v>Sap / Resin</x:v>
      </x:c>
      <x:c r="I48" s="51" t="str">
        <x:v>Blindness, Sight</x:v>
      </x:c>
      <x:c r="J48" s="51" t="str">
        <x:v>1 minute</x:v>
      </x:c>
      <x:c r="K48" s="51" t="str">
        <x:v>Creatures in a 10-foot-radius cloud make a Constitution saving throw. On a failed save, a creature is Blinded for 1 minute.</x:v>
      </x:c>
      <x:c r="L48" s="39" t="str">
        <x:v>Bonus Action to use or apply</x:v>
      </x:c>
    </x:row>
    <x:row r="49">
      <x:c r="A49" s="38" t="str">
        <x:v>Bombs</x:v>
      </x:c>
      <x:c r="B49" s="51" t="str">
        <x:v>Condition Bombs</x:v>
      </x:c>
      <x:c r="C49" s="51" t="str">
        <x:v>Bomb of Charm</x:v>
      </x:c>
      <x:c r="D49" s="51" t="str">
        <x:v>Rare</x:v>
      </x:c>
      <x:c r="E49" s="51" t="n">
        <x:v>28</x:v>
      </x:c>
      <x:c r="F49" s="51" t="str">
        <x:v>Mineral / Salt / Ash</x:v>
      </x:c>
      <x:c r="G49" s="51" t="str">
        <x:v>Flower</x:v>
      </x:c>
      <x:c r="H49" s="51" t="str">
        <x:v>Sap / Resin</x:v>
      </x:c>
      <x:c r="I49" s="51" t="str">
        <x:v>Charm, Mind, Psychic, Fey</x:v>
      </x:c>
      <x:c r="J49" s="51" t="str">
        <x:v>1 minute</x:v>
      </x:c>
      <x:c r="K49" s="51" t="str">
        <x:v>Creatures in a 10-foot-radius cloud make a Wisdom saving throw. On a failed save, a creature is Charmed for 1 minute.</x:v>
      </x:c>
      <x:c r="L49" s="39" t="str">
        <x:v>Bonus Action to use or apply</x:v>
      </x:c>
    </x:row>
    <x:row r="50">
      <x:c r="A50" s="38" t="str">
        <x:v>Bombs</x:v>
      </x:c>
      <x:c r="B50" s="51" t="str">
        <x:v>Condition Bombs</x:v>
      </x:c>
      <x:c r="C50" s="51" t="str">
        <x:v>Bomb of Confusion</x:v>
      </x:c>
      <x:c r="D50" s="51" t="str">
        <x:v>Rare</x:v>
      </x:c>
      <x:c r="E50" s="51" t="n">
        <x:v>28</x:v>
      </x:c>
      <x:c r="F50" s="51" t="str">
        <x:v>Mineral / Salt / Ash</x:v>
      </x:c>
      <x:c r="G50" s="51" t="str">
        <x:v>Flower</x:v>
      </x:c>
      <x:c r="H50" s="51" t="str">
        <x:v>Sap / Resin</x:v>
      </x:c>
      <x:c r="I50" s="51" t="str">
        <x:v>Confusion, Mind, Psychic</x:v>
      </x:c>
      <x:c r="J50" s="51" t="str">
        <x:v>1 minute</x:v>
      </x:c>
      <x:c r="K50" s="51" t="str">
        <x:v>Creatures in a 10-foot-radius cloud make a Wisdom saving throw. On a failed save, a creature is Confused for 1 minute.</x:v>
      </x:c>
      <x:c r="L50" s="39" t="str">
        <x:v>Bonus Action to use or apply</x:v>
      </x:c>
    </x:row>
    <x:row r="51">
      <x:c r="A51" s="38" t="str">
        <x:v>Bombs</x:v>
      </x:c>
      <x:c r="B51" s="51" t="str">
        <x:v>Condition Bombs</x:v>
      </x:c>
      <x:c r="C51" s="51" t="str">
        <x:v>Bomb of Deafness</x:v>
      </x:c>
      <x:c r="D51" s="51" t="str">
        <x:v>Uncommon</x:v>
      </x:c>
      <x:c r="E51" s="51" t="n">
        <x:v>22</x:v>
      </x:c>
      <x:c r="F51" s="51" t="str">
        <x:v>Mineral / Salt / Ash</x:v>
      </x:c>
      <x:c r="G51" s="51" t="str">
        <x:v>Flower</x:v>
      </x:c>
      <x:c r="H51" s="51" t="str">
        <x:v>Sap / Resin</x:v>
      </x:c>
      <x:c r="I51" s="51" t="str">
        <x:v>Deafness, Sound, Thunder</x:v>
      </x:c>
      <x:c r="J51" s="51" t="str">
        <x:v>1 minute</x:v>
      </x:c>
      <x:c r="K51" s="51" t="str">
        <x:v>Creatures in a 10-foot-radius cloud make a Constitution saving throw. On a failed save, a creature is Deafened for 1 minute.</x:v>
      </x:c>
      <x:c r="L51" s="39" t="str">
        <x:v>Bonus Action to use or apply</x:v>
      </x:c>
    </x:row>
    <x:row r="52">
      <x:c r="A52" s="38" t="str">
        <x:v>Bombs</x:v>
      </x:c>
      <x:c r="B52" s="51" t="str">
        <x:v>Condition Bombs</x:v>
      </x:c>
      <x:c r="C52" s="51" t="str">
        <x:v>Bomb of Fear</x:v>
      </x:c>
      <x:c r="D52" s="51" t="str">
        <x:v>Rare</x:v>
      </x:c>
      <x:c r="E52" s="51" t="n">
        <x:v>28</x:v>
      </x:c>
      <x:c r="F52" s="51" t="str">
        <x:v>Mineral / Salt / Ash</x:v>
      </x:c>
      <x:c r="G52" s="51" t="str">
        <x:v>Flower</x:v>
      </x:c>
      <x:c r="H52" s="51" t="str">
        <x:v>Sap / Resin</x:v>
      </x:c>
      <x:c r="I52" s="51" t="str">
        <x:v>Fear, Mind, Psychic</x:v>
      </x:c>
      <x:c r="J52" s="51" t="str">
        <x:v>1 minute</x:v>
      </x:c>
      <x:c r="K52" s="51" t="str">
        <x:v>Creatures in a 10-foot-radius cloud make a Wisdom saving throw. On a failed save, a creature is Frightened for 1 minute.</x:v>
      </x:c>
      <x:c r="L52" s="39" t="str">
        <x:v>Bonus Action to use or apply</x:v>
      </x:c>
    </x:row>
    <x:row r="53">
      <x:c r="A53" s="38" t="str">
        <x:v>Bombs</x:v>
      </x:c>
      <x:c r="B53" s="51" t="str">
        <x:v>Condition Bombs</x:v>
      </x:c>
      <x:c r="C53" s="51" t="str">
        <x:v>Bomb of Paralysis</x:v>
      </x:c>
      <x:c r="D53" s="51" t="str">
        <x:v>Rare</x:v>
      </x:c>
      <x:c r="E53" s="51" t="n">
        <x:v>28</x:v>
      </x:c>
      <x:c r="F53" s="51" t="str">
        <x:v>Mineral / Salt / Ash</x:v>
      </x:c>
      <x:c r="G53" s="51" t="str">
        <x:v>Flower</x:v>
      </x:c>
      <x:c r="H53" s="51" t="str">
        <x:v>Sap / Resin</x:v>
      </x:c>
      <x:c r="I53" s="51" t="str">
        <x:v>Paralysis, Nerve</x:v>
      </x:c>
      <x:c r="J53" s="51" t="str">
        <x:v>1 minute</x:v>
      </x:c>
      <x:c r="K53" s="51" t="str">
        <x:v>Creatures in a 10-foot-radius cloud make a Constitution saving throw. On a failed save, a creature is Paralyzed for 1 minute.</x:v>
      </x:c>
      <x:c r="L53" s="39" t="str">
        <x:v>Bonus Action to use or apply</x:v>
      </x:c>
    </x:row>
    <x:row r="54">
      <x:c r="A54" s="38" t="str">
        <x:v>Bombs</x:v>
      </x:c>
      <x:c r="B54" s="51" t="str">
        <x:v>Condition Bombs</x:v>
      </x:c>
      <x:c r="C54" s="51" t="str">
        <x:v>Bomb of Petrification</x:v>
      </x:c>
      <x:c r="D54" s="51" t="str">
        <x:v>Very Rare</x:v>
      </x:c>
      <x:c r="E54" s="51" t="n">
        <x:v>34</x:v>
      </x:c>
      <x:c r="F54" s="51" t="str">
        <x:v>Mineral / Salt / Ash</x:v>
      </x:c>
      <x:c r="G54" s="51" t="str">
        <x:v>Flower</x:v>
      </x:c>
      <x:c r="H54" s="51" t="str">
        <x:v>Sap / Resin</x:v>
      </x:c>
      <x:c r="I54" s="51" t="str">
        <x:v>Petrification, Stone</x:v>
      </x:c>
      <x:c r="J54" s="51" t="str">
        <x:v>1 minute</x:v>
      </x:c>
      <x:c r="K54" s="51" t="str">
        <x:v>Creatures in a 10-foot-radius cloud make a Constitution saving throw. On a failed save, a creature is Petrified for 1 minute.</x:v>
      </x:c>
      <x:c r="L54" s="39" t="str">
        <x:v>Bonus Action to use or apply</x:v>
      </x:c>
    </x:row>
    <x:row r="55">
      <x:c r="A55" s="38" t="str">
        <x:v>Bombs</x:v>
      </x:c>
      <x:c r="B55" s="51" t="str">
        <x:v>Condition Bombs</x:v>
      </x:c>
      <x:c r="C55" s="51" t="str">
        <x:v>Bomb of Poisoning</x:v>
      </x:c>
      <x:c r="D55" s="51" t="str">
        <x:v>Uncommon</x:v>
      </x:c>
      <x:c r="E55" s="51" t="n">
        <x:v>22</x:v>
      </x:c>
      <x:c r="F55" s="51" t="str">
        <x:v>Mineral / Salt / Ash</x:v>
      </x:c>
      <x:c r="G55" s="51" t="str">
        <x:v>Flower</x:v>
      </x:c>
      <x:c r="H55" s="51" t="str">
        <x:v>Sap / Resin</x:v>
      </x:c>
      <x:c r="I55" s="51" t="str">
        <x:v>Poison, Venom</x:v>
      </x:c>
      <x:c r="J55" s="51" t="str">
        <x:v>1 minute</x:v>
      </x:c>
      <x:c r="K55" s="51" t="str">
        <x:v>Creatures in a 10-foot-radius cloud make a Constitution saving throw. On a failed save, a creature is Poisoned for 1 minute.</x:v>
      </x:c>
      <x:c r="L55" s="39" t="str">
        <x:v>Bonus Action to use or apply</x:v>
      </x:c>
    </x:row>
    <x:row r="56">
      <x:c r="A56" s="38" t="str">
        <x:v>Bombs</x:v>
      </x:c>
      <x:c r="B56" s="51" t="str">
        <x:v>Condition Bombs</x:v>
      </x:c>
      <x:c r="C56" s="51" t="str">
        <x:v>Bomb of Restraint</x:v>
      </x:c>
      <x:c r="D56" s="51" t="str">
        <x:v>Rare</x:v>
      </x:c>
      <x:c r="E56" s="51" t="n">
        <x:v>28</x:v>
      </x:c>
      <x:c r="F56" s="51" t="str">
        <x:v>Mineral / Salt / Ash</x:v>
      </x:c>
      <x:c r="G56" s="51" t="str">
        <x:v>Flower</x:v>
      </x:c>
      <x:c r="H56" s="51" t="str">
        <x:v>Sap / Resin</x:v>
      </x:c>
      <x:c r="I56" s="51" t="str">
        <x:v>Restraint, Binding</x:v>
      </x:c>
      <x:c r="J56" s="51" t="str">
        <x:v>1 minute</x:v>
      </x:c>
      <x:c r="K56" s="51" t="str">
        <x:v>Creatures in a 10-foot-radius cloud make a Dexterity saving throw. On a failed save, a creature is Restrained for 1 minute.</x:v>
      </x:c>
      <x:c r="L56" s="39" t="str">
        <x:v>Bonus Action to use or apply</x:v>
      </x:c>
    </x:row>
    <x:row r="57">
      <x:c r="A57" s="38" t="str">
        <x:v>Bombs</x:v>
      </x:c>
      <x:c r="B57" s="51" t="str">
        <x:v>Condition Bombs</x:v>
      </x:c>
      <x:c r="C57" s="51" t="str">
        <x:v>Bomb of Stunning</x:v>
      </x:c>
      <x:c r="D57" s="51" t="str">
        <x:v>Rare</x:v>
      </x:c>
      <x:c r="E57" s="51" t="n">
        <x:v>28</x:v>
      </x:c>
      <x:c r="F57" s="51" t="str">
        <x:v>Mineral / Salt / Ash</x:v>
      </x:c>
      <x:c r="G57" s="51" t="str">
        <x:v>Flower</x:v>
      </x:c>
      <x:c r="H57" s="51" t="str">
        <x:v>Sap / Resin</x:v>
      </x:c>
      <x:c r="I57" s="51" t="str">
        <x:v>Stunning, Nerve, Lightning, Thunder</x:v>
      </x:c>
      <x:c r="J57" s="51" t="str">
        <x:v>Until the end of the target's next turn</x:v>
      </x:c>
      <x:c r="K57" s="51" t="str">
        <x:v>Creatures in a 10-foot-radius cloud make a Constitution saving throw. On a failed save, a creature is Stunned for Until the end of the target's next turn.</x:v>
      </x:c>
      <x:c r="L57" s="39" t="str">
        <x:v>Bonus Action to use or apply</x:v>
      </x:c>
    </x:row>
    <x:row r="58">
      <x:c r="A58" s="38" t="str">
        <x:v>Bombs</x:v>
      </x:c>
      <x:c r="B58" s="51" t="str">
        <x:v>Elemental Bombs</x:v>
      </x:c>
      <x:c r="C58" s="51" t="str">
        <x:v>Bomb of Acid</x:v>
      </x:c>
      <x:c r="D58" s="51" t="str">
        <x:v>Uncommon</x:v>
      </x:c>
      <x:c r="E58" s="51" t="n">
        <x:v>22</x:v>
      </x:c>
      <x:c r="F58" s="51" t="str">
        <x:v>Mineral / Salt / Ash</x:v>
      </x:c>
      <x:c r="G58" s="51" t="str">
        <x:v>Sap / Resin</x:v>
      </x:c>
      <x:c r="H58" s="51" t="str">
        <x:v>Thorn / Bark / Wood</x:v>
      </x:c>
      <x:c r="I58" s="51" t="str">
        <x:v>Acid</x:v>
      </x:c>
      <x:c r="J58" s="51" t="str">
        <x:v>Instant</x:v>
      </x:c>
      <x:c r="K58" s="51" t="str">
        <x:v>Creatures in a 10-foot-radius burst make a Dexterity saving throw, taking 2d6 acid damage on a failed save or half as much on a success.</x:v>
      </x:c>
      <x:c r="L58" s="39" t="str">
        <x:v>Bonus Action to use or apply</x:v>
      </x:c>
    </x:row>
    <x:row r="59">
      <x:c r="A59" s="38" t="str">
        <x:v>Bombs</x:v>
      </x:c>
      <x:c r="B59" s="51" t="str">
        <x:v>Elemental Bombs</x:v>
      </x:c>
      <x:c r="C59" s="51" t="str">
        <x:v>Bomb of Cold</x:v>
      </x:c>
      <x:c r="D59" s="51" t="str">
        <x:v>Uncommon</x:v>
      </x:c>
      <x:c r="E59" s="51" t="n">
        <x:v>22</x:v>
      </x:c>
      <x:c r="F59" s="51" t="str">
        <x:v>Mineral / Salt / Ash</x:v>
      </x:c>
      <x:c r="G59" s="51" t="str">
        <x:v>Sap / Resin</x:v>
      </x:c>
      <x:c r="H59" s="51" t="str">
        <x:v>Thorn / Bark / Wood</x:v>
      </x:c>
      <x:c r="I59" s="51" t="str">
        <x:v>Cold</x:v>
      </x:c>
      <x:c r="J59" s="51" t="str">
        <x:v>Instant</x:v>
      </x:c>
      <x:c r="K59" s="51" t="str">
        <x:v>Creatures in a 10-foot-radius burst make a Dexterity saving throw, taking 2d6 cold damage on a failed save or half as much on a success.</x:v>
      </x:c>
      <x:c r="L59" s="39" t="str">
        <x:v>Bonus Action to use or apply</x:v>
      </x:c>
    </x:row>
    <x:row r="60">
      <x:c r="A60" s="38" t="str">
        <x:v>Bombs</x:v>
      </x:c>
      <x:c r="B60" s="51" t="str">
        <x:v>Elemental Bombs</x:v>
      </x:c>
      <x:c r="C60" s="51" t="str">
        <x:v>Bomb of Fire</x:v>
      </x:c>
      <x:c r="D60" s="51" t="str">
        <x:v>Uncommon</x:v>
      </x:c>
      <x:c r="E60" s="51" t="n">
        <x:v>22</x:v>
      </x:c>
      <x:c r="F60" s="51" t="str">
        <x:v>Mineral / Salt / Ash</x:v>
      </x:c>
      <x:c r="G60" s="51" t="str">
        <x:v>Sap / Resin</x:v>
      </x:c>
      <x:c r="H60" s="51" t="str">
        <x:v>Thorn / Bark / Wood</x:v>
      </x:c>
      <x:c r="I60" s="51" t="str">
        <x:v>Fire</x:v>
      </x:c>
      <x:c r="J60" s="51" t="str">
        <x:v>Instant</x:v>
      </x:c>
      <x:c r="K60" s="51" t="str">
        <x:v>Creatures in a 10-foot-radius burst make a Dexterity saving throw, taking 2d6 fire damage on a failed save or half as much on a success.</x:v>
      </x:c>
      <x:c r="L60" s="39" t="str">
        <x:v>Bonus Action to use or apply</x:v>
      </x:c>
    </x:row>
    <x:row r="61">
      <x:c r="A61" s="38" t="str">
        <x:v>Bombs</x:v>
      </x:c>
      <x:c r="B61" s="51" t="str">
        <x:v>Elemental Bombs</x:v>
      </x:c>
      <x:c r="C61" s="51" t="str">
        <x:v>Bomb of Force</x:v>
      </x:c>
      <x:c r="D61" s="51" t="str">
        <x:v>Rare</x:v>
      </x:c>
      <x:c r="E61" s="51" t="n">
        <x:v>28</x:v>
      </x:c>
      <x:c r="F61" s="51" t="str">
        <x:v>Mineral / Salt / Ash</x:v>
      </x:c>
      <x:c r="G61" s="51" t="str">
        <x:v>Sap / Resin</x:v>
      </x:c>
      <x:c r="H61" s="51" t="str">
        <x:v>Thorn / Bark / Wood</x:v>
      </x:c>
      <x:c r="I61" s="51" t="str">
        <x:v>Force</x:v>
      </x:c>
      <x:c r="J61" s="51" t="str">
        <x:v>Instant</x:v>
      </x:c>
      <x:c r="K61" s="51" t="str">
        <x:v>Creatures in a 10-foot-radius burst make a Dexterity saving throw, taking 3d6 force damage on a failed save or half as much on a success.</x:v>
      </x:c>
      <x:c r="L61" s="39" t="str">
        <x:v>Bonus Action to use or apply</x:v>
      </x:c>
    </x:row>
    <x:row r="62">
      <x:c r="A62" s="38" t="str">
        <x:v>Bombs</x:v>
      </x:c>
      <x:c r="B62" s="51" t="str">
        <x:v>Elemental Bombs</x:v>
      </x:c>
      <x:c r="C62" s="51" t="str">
        <x:v>Bomb of Lightning</x:v>
      </x:c>
      <x:c r="D62" s="51" t="str">
        <x:v>Uncommon</x:v>
      </x:c>
      <x:c r="E62" s="51" t="n">
        <x:v>22</x:v>
      </x:c>
      <x:c r="F62" s="51" t="str">
        <x:v>Mineral / Salt / Ash</x:v>
      </x:c>
      <x:c r="G62" s="51" t="str">
        <x:v>Sap / Resin</x:v>
      </x:c>
      <x:c r="H62" s="51" t="str">
        <x:v>Thorn / Bark / Wood</x:v>
      </x:c>
      <x:c r="I62" s="51" t="str">
        <x:v>Lightning</x:v>
      </x:c>
      <x:c r="J62" s="51" t="str">
        <x:v>Instant</x:v>
      </x:c>
      <x:c r="K62" s="51" t="str">
        <x:v>Creatures in a 10-foot-radius burst make a Dexterity saving throw, taking 2d6 lightning damage on a failed save or half as much on a success.</x:v>
      </x:c>
      <x:c r="L62" s="39" t="str">
        <x:v>Bonus Action to use or apply</x:v>
      </x:c>
    </x:row>
    <x:row r="63">
      <x:c r="A63" s="38" t="str">
        <x:v>Bombs</x:v>
      </x:c>
      <x:c r="B63" s="51" t="str">
        <x:v>Elemental Bombs</x:v>
      </x:c>
      <x:c r="C63" s="51" t="str">
        <x:v>Bomb of Necrotic</x:v>
      </x:c>
      <x:c r="D63" s="51" t="str">
        <x:v>Rare</x:v>
      </x:c>
      <x:c r="E63" s="51" t="n">
        <x:v>28</x:v>
      </x:c>
      <x:c r="F63" s="51" t="str">
        <x:v>Mineral / Salt / Ash</x:v>
      </x:c>
      <x:c r="G63" s="51" t="str">
        <x:v>Sap / Resin</x:v>
      </x:c>
      <x:c r="H63" s="51" t="str">
        <x:v>Thorn / Bark / Wood</x:v>
      </x:c>
      <x:c r="I63" s="51" t="str">
        <x:v>Necrotic</x:v>
      </x:c>
      <x:c r="J63" s="51" t="str">
        <x:v>Instant</x:v>
      </x:c>
      <x:c r="K63" s="51" t="str">
        <x:v>Creatures in a 10-foot-radius burst make a Constitution saving throw, taking 3d6 necrotic damage on a failed save or half as much on a success.</x:v>
      </x:c>
      <x:c r="L63" s="39" t="str">
        <x:v>Bonus Action to use or apply</x:v>
      </x:c>
    </x:row>
    <x:row r="64">
      <x:c r="A64" s="38" t="str">
        <x:v>Bombs</x:v>
      </x:c>
      <x:c r="B64" s="51" t="str">
        <x:v>Elemental Bombs</x:v>
      </x:c>
      <x:c r="C64" s="51" t="str">
        <x:v>Bomb of Poison</x:v>
      </x:c>
      <x:c r="D64" s="51" t="str">
        <x:v>Uncommon</x:v>
      </x:c>
      <x:c r="E64" s="51" t="n">
        <x:v>22</x:v>
      </x:c>
      <x:c r="F64" s="51" t="str">
        <x:v>Mineral / Salt / Ash</x:v>
      </x:c>
      <x:c r="G64" s="51" t="str">
        <x:v>Sap / Resin</x:v>
      </x:c>
      <x:c r="H64" s="51" t="str">
        <x:v>Thorn / Bark / Wood</x:v>
      </x:c>
      <x:c r="I64" s="51" t="str">
        <x:v>Poison</x:v>
      </x:c>
      <x:c r="J64" s="51" t="str">
        <x:v>Instant</x:v>
      </x:c>
      <x:c r="K64" s="51" t="str">
        <x:v>Creatures in a 10-foot-radius burst make a Constitution saving throw, taking 2d6 poison damage on a failed save or half as much on a success.</x:v>
      </x:c>
      <x:c r="L64" s="39" t="str">
        <x:v>Bonus Action to use or apply</x:v>
      </x:c>
    </x:row>
    <x:row r="65">
      <x:c r="A65" s="38" t="str">
        <x:v>Bombs</x:v>
      </x:c>
      <x:c r="B65" s="51" t="str">
        <x:v>Elemental Bombs</x:v>
      </x:c>
      <x:c r="C65" s="51" t="str">
        <x:v>Bomb of Psychic</x:v>
      </x:c>
      <x:c r="D65" s="51" t="str">
        <x:v>Rare</x:v>
      </x:c>
      <x:c r="E65" s="51" t="n">
        <x:v>28</x:v>
      </x:c>
      <x:c r="F65" s="51" t="str">
        <x:v>Mineral / Salt / Ash</x:v>
      </x:c>
      <x:c r="G65" s="51" t="str">
        <x:v>Sap / Resin</x:v>
      </x:c>
      <x:c r="H65" s="51" t="str">
        <x:v>Thorn / Bark / Wood</x:v>
      </x:c>
      <x:c r="I65" s="51" t="str">
        <x:v>Psychic</x:v>
      </x:c>
      <x:c r="J65" s="51" t="str">
        <x:v>Instant</x:v>
      </x:c>
      <x:c r="K65" s="51" t="str">
        <x:v>Creatures in a 10-foot-radius burst make a Wisdom saving throw, taking 3d6 psychic damage on a failed save or half as much on a success.</x:v>
      </x:c>
      <x:c r="L65" s="39" t="str">
        <x:v>Bonus Action to use or apply</x:v>
      </x:c>
    </x:row>
    <x:row r="66">
      <x:c r="A66" s="38" t="str">
        <x:v>Bombs</x:v>
      </x:c>
      <x:c r="B66" s="51" t="str">
        <x:v>Elemental Bombs</x:v>
      </x:c>
      <x:c r="C66" s="51" t="str">
        <x:v>Bomb of Radiant</x:v>
      </x:c>
      <x:c r="D66" s="51" t="str">
        <x:v>Rare</x:v>
      </x:c>
      <x:c r="E66" s="51" t="n">
        <x:v>28</x:v>
      </x:c>
      <x:c r="F66" s="51" t="str">
        <x:v>Mineral / Salt / Ash</x:v>
      </x:c>
      <x:c r="G66" s="51" t="str">
        <x:v>Sap / Resin</x:v>
      </x:c>
      <x:c r="H66" s="51" t="str">
        <x:v>Thorn / Bark / Wood</x:v>
      </x:c>
      <x:c r="I66" s="51" t="str">
        <x:v>Radiant</x:v>
      </x:c>
      <x:c r="J66" s="51" t="str">
        <x:v>Instant</x:v>
      </x:c>
      <x:c r="K66" s="51" t="str">
        <x:v>Creatures in a 10-foot-radius burst make a Dexterity saving throw, taking 3d6 radiant damage on a failed save or half as much on a success.</x:v>
      </x:c>
      <x:c r="L66" s="39" t="str">
        <x:v>Bonus Action to use or apply</x:v>
      </x:c>
    </x:row>
    <x:row r="67">
      <x:c r="A67" s="38" t="str">
        <x:v>Bombs</x:v>
      </x:c>
      <x:c r="B67" s="51" t="str">
        <x:v>Elemental Bombs</x:v>
      </x:c>
      <x:c r="C67" s="51" t="str">
        <x:v>Bomb of Thunder</x:v>
      </x:c>
      <x:c r="D67" s="51" t="str">
        <x:v>Uncommon</x:v>
      </x:c>
      <x:c r="E67" s="51" t="n">
        <x:v>22</x:v>
      </x:c>
      <x:c r="F67" s="51" t="str">
        <x:v>Mineral / Salt / Ash</x:v>
      </x:c>
      <x:c r="G67" s="51" t="str">
        <x:v>Sap / Resin</x:v>
      </x:c>
      <x:c r="H67" s="51" t="str">
        <x:v>Thorn / Bark / Wood</x:v>
      </x:c>
      <x:c r="I67" s="51" t="str">
        <x:v>Thunder</x:v>
      </x:c>
      <x:c r="J67" s="51" t="str">
        <x:v>Instant</x:v>
      </x:c>
      <x:c r="K67" s="51" t="str">
        <x:v>Creatures in a 10-foot-radius burst make a Constitution saving throw, taking 2d6 thunder damage on a failed save or half as much on a success.</x:v>
      </x:c>
      <x:c r="L67" s="39" t="str">
        <x:v>Bonus Action to use or apply</x:v>
      </x:c>
    </x:row>
    <x:row r="68">
      <x:c r="A68" s="38" t="str">
        <x:v>Elixirs</x:v>
      </x:c>
      <x:c r="B68" s="51" t="str">
        <x:v>Ability Elixirs</x:v>
      </x:c>
      <x:c r="C68" s="51" t="str">
        <x:v>Elixir of Charisma</x:v>
      </x:c>
      <x:c r="D68" s="51" t="str">
        <x:v>Uncommon</x:v>
      </x:c>
      <x:c r="E68" s="51" t="n">
        <x:v>22</x:v>
      </x:c>
      <x:c r="F68" s="51" t="str">
        <x:v>Flower</x:v>
      </x:c>
      <x:c r="G68" s="51" t="str">
        <x:v>Sap / Resin</x:v>
      </x:c>
      <x:c r="H68" s="51" t="str">
        <x:v>Mineral / Salt / Ash</x:v>
      </x:c>
      <x:c r="I68" s="51" t="str"/>
      <x:c r="J68" s="51" t="str">
        <x:v>1 hour</x:v>
      </x:c>
      <x:c r="K68" s="51" t="str">
        <x:v>Charisma increases by 1d4 for the duration.</x:v>
      </x:c>
      <x:c r="L68" s="39" t="str">
        <x:v>Bonus Action to use or apply</x:v>
      </x:c>
    </x:row>
    <x:row r="69">
      <x:c r="A69" s="38" t="str">
        <x:v>Elixirs</x:v>
      </x:c>
      <x:c r="B69" s="51" t="str">
        <x:v>Ability Elixirs</x:v>
      </x:c>
      <x:c r="C69" s="51" t="str">
        <x:v>Elixir of Constitution</x:v>
      </x:c>
      <x:c r="D69" s="51" t="str">
        <x:v>Uncommon</x:v>
      </x:c>
      <x:c r="E69" s="51" t="n">
        <x:v>22</x:v>
      </x:c>
      <x:c r="F69" s="51" t="str">
        <x:v>Root</x:v>
      </x:c>
      <x:c r="G69" s="51" t="str">
        <x:v>Mushroom</x:v>
      </x:c>
      <x:c r="H69" s="51" t="str">
        <x:v>Moss / Lichen</x:v>
      </x:c>
      <x:c r="I69" s="51" t="str"/>
      <x:c r="J69" s="51" t="str">
        <x:v>1 hour</x:v>
      </x:c>
      <x:c r="K69" s="51" t="str">
        <x:v>Constitution increases by 1d4 for the duration.</x:v>
      </x:c>
      <x:c r="L69" s="39" t="str">
        <x:v>Bonus Action to use or apply</x:v>
      </x:c>
    </x:row>
    <x:row r="70">
      <x:c r="A70" s="38" t="str">
        <x:v>Elixirs</x:v>
      </x:c>
      <x:c r="B70" s="51" t="str">
        <x:v>Ability Elixirs</x:v>
      </x:c>
      <x:c r="C70" s="51" t="str">
        <x:v>Elixir of Dexterity</x:v>
      </x:c>
      <x:c r="D70" s="51" t="str">
        <x:v>Uncommon</x:v>
      </x:c>
      <x:c r="E70" s="51" t="n">
        <x:v>22</x:v>
      </x:c>
      <x:c r="F70" s="51" t="str">
        <x:v>Leaf / Vine</x:v>
      </x:c>
      <x:c r="G70" s="51" t="str">
        <x:v>Flower</x:v>
      </x:c>
      <x:c r="H70" s="51" t="str">
        <x:v>Sap / Resin</x:v>
      </x:c>
      <x:c r="I70" s="51" t="str"/>
      <x:c r="J70" s="51" t="str">
        <x:v>1 hour</x:v>
      </x:c>
      <x:c r="K70" s="51" t="str">
        <x:v>Dexterity increases by 1d4 for the duration.</x:v>
      </x:c>
      <x:c r="L70" s="39" t="str">
        <x:v>Bonus Action to use or apply</x:v>
      </x:c>
    </x:row>
    <x:row r="71">
      <x:c r="A71" s="38" t="str">
        <x:v>Elixirs</x:v>
      </x:c>
      <x:c r="B71" s="51" t="str">
        <x:v>Ability Elixirs</x:v>
      </x:c>
      <x:c r="C71" s="51" t="str">
        <x:v>Elixir of Intelligence</x:v>
      </x:c>
      <x:c r="D71" s="51" t="str">
        <x:v>Uncommon</x:v>
      </x:c>
      <x:c r="E71" s="51" t="n">
        <x:v>22</x:v>
      </x:c>
      <x:c r="F71" s="51" t="str">
        <x:v>Flower</x:v>
      </x:c>
      <x:c r="G71" s="51" t="str">
        <x:v>Mineral / Salt / Ash</x:v>
      </x:c>
      <x:c r="H71" s="51" t="str">
        <x:v>Root</x:v>
      </x:c>
      <x:c r="I71" s="51" t="str"/>
      <x:c r="J71" s="51" t="str">
        <x:v>1 hour</x:v>
      </x:c>
      <x:c r="K71" s="51" t="str">
        <x:v>Intelligence increases by 1d4 for the duration.</x:v>
      </x:c>
      <x:c r="L71" s="39" t="str">
        <x:v>Bonus Action to use or apply</x:v>
      </x:c>
    </x:row>
    <x:row r="72">
      <x:c r="A72" s="38" t="str">
        <x:v>Elixirs</x:v>
      </x:c>
      <x:c r="B72" s="51" t="str">
        <x:v>Ability Elixirs</x:v>
      </x:c>
      <x:c r="C72" s="51" t="str">
        <x:v>Elixir of Strength</x:v>
      </x:c>
      <x:c r="D72" s="51" t="str">
        <x:v>Uncommon</x:v>
      </x:c>
      <x:c r="E72" s="51" t="n">
        <x:v>22</x:v>
      </x:c>
      <x:c r="F72" s="51" t="str">
        <x:v>Root</x:v>
      </x:c>
      <x:c r="G72" s="51" t="str">
        <x:v>Thorn / Bark / Wood</x:v>
      </x:c>
      <x:c r="H72" s="51" t="str">
        <x:v>Mushroom</x:v>
      </x:c>
      <x:c r="I72" s="51" t="str"/>
      <x:c r="J72" s="51" t="str">
        <x:v>1 hour</x:v>
      </x:c>
      <x:c r="K72" s="51" t="str">
        <x:v>Strength increases by 1d4 for the duration.</x:v>
      </x:c>
      <x:c r="L72" s="39" t="str">
        <x:v>Bonus Action to use or apply</x:v>
      </x:c>
    </x:row>
    <x:row r="73">
      <x:c r="A73" s="38" t="str">
        <x:v>Elixirs</x:v>
      </x:c>
      <x:c r="B73" s="51" t="str">
        <x:v>Ability Elixirs</x:v>
      </x:c>
      <x:c r="C73" s="51" t="str">
        <x:v>Elixir of Wisdom</x:v>
      </x:c>
      <x:c r="D73" s="51" t="str">
        <x:v>Uncommon</x:v>
      </x:c>
      <x:c r="E73" s="51" t="n">
        <x:v>22</x:v>
      </x:c>
      <x:c r="F73" s="51" t="str">
        <x:v>Moss / Lichen</x:v>
      </x:c>
      <x:c r="G73" s="51" t="str">
        <x:v>Flower</x:v>
      </x:c>
      <x:c r="H73" s="51" t="str">
        <x:v>Root</x:v>
      </x:c>
      <x:c r="I73" s="51" t="str"/>
      <x:c r="J73" s="51" t="str">
        <x:v>1 hour</x:v>
      </x:c>
      <x:c r="K73" s="51" t="str">
        <x:v>Wisdom increases by 1d4 for the duration.</x:v>
      </x:c>
      <x:c r="L73" s="39" t="str">
        <x:v>Bonus Action to use or apply</x:v>
      </x:c>
    </x:row>
    <x:row r="74">
      <x:c r="A74" s="38" t="str">
        <x:v>Elixirs</x:v>
      </x:c>
      <x:c r="B74" s="51" t="str">
        <x:v>Immunity Elixirs</x:v>
      </x:c>
      <x:c r="C74" s="51" t="str">
        <x:v>Elixir of Blindness Immunity</x:v>
      </x:c>
      <x:c r="D74" s="51" t="str">
        <x:v>Uncommon</x:v>
      </x:c>
      <x:c r="E74" s="51" t="n">
        <x:v>22</x:v>
      </x:c>
      <x:c r="F74" s="51" t="str">
        <x:v>Root</x:v>
      </x:c>
      <x:c r="G74" s="51" t="str">
        <x:v>Flower</x:v>
      </x:c>
      <x:c r="H74" s="51" t="str">
        <x:v>Mineral / Salt / Ash</x:v>
      </x:c>
      <x:c r="I74" s="51" t="str">
        <x:v>Blindness, Sight</x:v>
      </x:c>
      <x:c r="J74" s="51" t="str">
        <x:v>1 hour</x:v>
      </x:c>
      <x:c r="K74" s="51" t="str">
        <x:v>Immediately ends the Blinded condition if present and grants immunity to Blinded for 1 hour.</x:v>
      </x:c>
      <x:c r="L74" s="39" t="str">
        <x:v>Bonus Action to use or apply</x:v>
      </x:c>
    </x:row>
    <x:row r="75">
      <x:c r="A75" s="38" t="str">
        <x:v>Elixirs</x:v>
      </x:c>
      <x:c r="B75" s="51" t="str">
        <x:v>Immunity Elixirs</x:v>
      </x:c>
      <x:c r="C75" s="51" t="str">
        <x:v>Elixir of Charm Immunity</x:v>
      </x:c>
      <x:c r="D75" s="51" t="str">
        <x:v>Rare</x:v>
      </x:c>
      <x:c r="E75" s="51" t="n">
        <x:v>28</x:v>
      </x:c>
      <x:c r="F75" s="51" t="str">
        <x:v>Root</x:v>
      </x:c>
      <x:c r="G75" s="51" t="str">
        <x:v>Flower</x:v>
      </x:c>
      <x:c r="H75" s="51" t="str">
        <x:v>Mineral / Salt / Ash</x:v>
      </x:c>
      <x:c r="I75" s="51" t="str">
        <x:v>Charm, Mind, Psychic, Fey</x:v>
      </x:c>
      <x:c r="J75" s="51" t="str">
        <x:v>1 hour</x:v>
      </x:c>
      <x:c r="K75" s="51" t="str">
        <x:v>Immediately ends the Charmed condition if present and grants immunity to Charmed for 1 hour.</x:v>
      </x:c>
      <x:c r="L75" s="39" t="str">
        <x:v>Bonus Action to use or apply</x:v>
      </x:c>
    </x:row>
    <x:row r="76">
      <x:c r="A76" s="38" t="str">
        <x:v>Elixirs</x:v>
      </x:c>
      <x:c r="B76" s="51" t="str">
        <x:v>Immunity Elixirs</x:v>
      </x:c>
      <x:c r="C76" s="51" t="str">
        <x:v>Elixir of Confusion Immunity</x:v>
      </x:c>
      <x:c r="D76" s="51" t="str">
        <x:v>Rare</x:v>
      </x:c>
      <x:c r="E76" s="51" t="n">
        <x:v>28</x:v>
      </x:c>
      <x:c r="F76" s="51" t="str">
        <x:v>Root</x:v>
      </x:c>
      <x:c r="G76" s="51" t="str">
        <x:v>Flower</x:v>
      </x:c>
      <x:c r="H76" s="51" t="str">
        <x:v>Mineral / Salt / Ash</x:v>
      </x:c>
      <x:c r="I76" s="51" t="str">
        <x:v>Confusion, Mind, Psychic</x:v>
      </x:c>
      <x:c r="J76" s="51" t="str">
        <x:v>1 hour</x:v>
      </x:c>
      <x:c r="K76" s="51" t="str">
        <x:v>Immediately ends the Confused condition if present and grants immunity to Confused for 1 hour.</x:v>
      </x:c>
      <x:c r="L76" s="39" t="str">
        <x:v>Bonus Action to use or apply</x:v>
      </x:c>
    </x:row>
    <x:row r="77">
      <x:c r="A77" s="38" t="str">
        <x:v>Elixirs</x:v>
      </x:c>
      <x:c r="B77" s="51" t="str">
        <x:v>Immunity Elixirs</x:v>
      </x:c>
      <x:c r="C77" s="51" t="str">
        <x:v>Elixir of Deafness Immunity</x:v>
      </x:c>
      <x:c r="D77" s="51" t="str">
        <x:v>Uncommon</x:v>
      </x:c>
      <x:c r="E77" s="51" t="n">
        <x:v>22</x:v>
      </x:c>
      <x:c r="F77" s="51" t="str">
        <x:v>Root</x:v>
      </x:c>
      <x:c r="G77" s="51" t="str">
        <x:v>Flower</x:v>
      </x:c>
      <x:c r="H77" s="51" t="str">
        <x:v>Mineral / Salt / Ash</x:v>
      </x:c>
      <x:c r="I77" s="51" t="str">
        <x:v>Deafness, Sound, Thunder</x:v>
      </x:c>
      <x:c r="J77" s="51" t="str">
        <x:v>1 hour</x:v>
      </x:c>
      <x:c r="K77" s="51" t="str">
        <x:v>Immediately ends the Deafened condition if present and grants immunity to Deafened for 1 hour.</x:v>
      </x:c>
      <x:c r="L77" s="39" t="str">
        <x:v>Bonus Action to use or apply</x:v>
      </x:c>
    </x:row>
    <x:row r="78">
      <x:c r="A78" s="38" t="str">
        <x:v>Elixirs</x:v>
      </x:c>
      <x:c r="B78" s="51" t="str">
        <x:v>Immunity Elixirs</x:v>
      </x:c>
      <x:c r="C78" s="51" t="str">
        <x:v>Elixir of Fear Immunity</x:v>
      </x:c>
      <x:c r="D78" s="51" t="str">
        <x:v>Rare</x:v>
      </x:c>
      <x:c r="E78" s="51" t="n">
        <x:v>28</x:v>
      </x:c>
      <x:c r="F78" s="51" t="str">
        <x:v>Root</x:v>
      </x:c>
      <x:c r="G78" s="51" t="str">
        <x:v>Flower</x:v>
      </x:c>
      <x:c r="H78" s="51" t="str">
        <x:v>Mineral / Salt / Ash</x:v>
      </x:c>
      <x:c r="I78" s="51" t="str">
        <x:v>Fear, Mind, Psychic</x:v>
      </x:c>
      <x:c r="J78" s="51" t="str">
        <x:v>1 hour</x:v>
      </x:c>
      <x:c r="K78" s="51" t="str">
        <x:v>Immediately ends the Frightened condition if present and grants immunity to Frightened for 1 hour.</x:v>
      </x:c>
      <x:c r="L78" s="39" t="str">
        <x:v>Bonus Action to use or apply</x:v>
      </x:c>
    </x:row>
    <x:row r="79">
      <x:c r="A79" s="38" t="str">
        <x:v>Elixirs</x:v>
      </x:c>
      <x:c r="B79" s="51" t="str">
        <x:v>Immunity Elixirs</x:v>
      </x:c>
      <x:c r="C79" s="51" t="str">
        <x:v>Elixir of Paralysis Immunity</x:v>
      </x:c>
      <x:c r="D79" s="51" t="str">
        <x:v>Rare</x:v>
      </x:c>
      <x:c r="E79" s="51" t="n">
        <x:v>28</x:v>
      </x:c>
      <x:c r="F79" s="51" t="str">
        <x:v>Root</x:v>
      </x:c>
      <x:c r="G79" s="51" t="str">
        <x:v>Flower</x:v>
      </x:c>
      <x:c r="H79" s="51" t="str">
        <x:v>Mineral / Salt / Ash</x:v>
      </x:c>
      <x:c r="I79" s="51" t="str">
        <x:v>Paralysis, Nerve</x:v>
      </x:c>
      <x:c r="J79" s="51" t="str">
        <x:v>1 hour</x:v>
      </x:c>
      <x:c r="K79" s="51" t="str">
        <x:v>Immediately ends the Paralyzed condition if present and grants immunity to Paralyzed for 1 hour.</x:v>
      </x:c>
      <x:c r="L79" s="39" t="str">
        <x:v>Bonus Action to use or apply</x:v>
      </x:c>
    </x:row>
    <x:row r="80">
      <x:c r="A80" s="38" t="str">
        <x:v>Elixirs</x:v>
      </x:c>
      <x:c r="B80" s="51" t="str">
        <x:v>Immunity Elixirs</x:v>
      </x:c>
      <x:c r="C80" s="51" t="str">
        <x:v>Elixir of Petrification Immunity</x:v>
      </x:c>
      <x:c r="D80" s="51" t="str">
        <x:v>Very Rare</x:v>
      </x:c>
      <x:c r="E80" s="51" t="n">
        <x:v>34</x:v>
      </x:c>
      <x:c r="F80" s="51" t="str">
        <x:v>Root</x:v>
      </x:c>
      <x:c r="G80" s="51" t="str">
        <x:v>Flower</x:v>
      </x:c>
      <x:c r="H80" s="51" t="str">
        <x:v>Mineral / Salt / Ash</x:v>
      </x:c>
      <x:c r="I80" s="51" t="str">
        <x:v>Petrification, Stone</x:v>
      </x:c>
      <x:c r="J80" s="51" t="str">
        <x:v>1 hour</x:v>
      </x:c>
      <x:c r="K80" s="51" t="str">
        <x:v>Immediately ends the Petrified condition if present and grants immunity to Petrified for 1 hour.</x:v>
      </x:c>
      <x:c r="L80" s="39" t="str">
        <x:v>Bonus Action to use or apply</x:v>
      </x:c>
    </x:row>
    <x:row r="81">
      <x:c r="A81" s="38" t="str">
        <x:v>Elixirs</x:v>
      </x:c>
      <x:c r="B81" s="51" t="str">
        <x:v>Immunity Elixirs</x:v>
      </x:c>
      <x:c r="C81" s="51" t="str">
        <x:v>Elixir of Poison Immunity</x:v>
      </x:c>
      <x:c r="D81" s="51" t="str">
        <x:v>Uncommon</x:v>
      </x:c>
      <x:c r="E81" s="51" t="n">
        <x:v>22</x:v>
      </x:c>
      <x:c r="F81" s="51" t="str">
        <x:v>Root</x:v>
      </x:c>
      <x:c r="G81" s="51" t="str">
        <x:v>Flower</x:v>
      </x:c>
      <x:c r="H81" s="51" t="str">
        <x:v>Mineral / Salt / Ash</x:v>
      </x:c>
      <x:c r="I81" s="51" t="str">
        <x:v>Poison, Venom</x:v>
      </x:c>
      <x:c r="J81" s="51" t="str">
        <x:v>1 hour</x:v>
      </x:c>
      <x:c r="K81" s="51" t="str">
        <x:v>Immediately ends the Poisoned condition if present and grants immunity to Poisoned for 1 hour.</x:v>
      </x:c>
      <x:c r="L81" s="39" t="str">
        <x:v>Bonus Action to use or apply</x:v>
      </x:c>
    </x:row>
    <x:row r="82">
      <x:c r="A82" s="38" t="str">
        <x:v>Elixirs</x:v>
      </x:c>
      <x:c r="B82" s="51" t="str">
        <x:v>Immunity Elixirs</x:v>
      </x:c>
      <x:c r="C82" s="51" t="str">
        <x:v>Elixir of Restraint Immunity</x:v>
      </x:c>
      <x:c r="D82" s="51" t="str">
        <x:v>Rare</x:v>
      </x:c>
      <x:c r="E82" s="51" t="n">
        <x:v>28</x:v>
      </x:c>
      <x:c r="F82" s="51" t="str">
        <x:v>Root</x:v>
      </x:c>
      <x:c r="G82" s="51" t="str">
        <x:v>Flower</x:v>
      </x:c>
      <x:c r="H82" s="51" t="str">
        <x:v>Mineral / Salt / Ash</x:v>
      </x:c>
      <x:c r="I82" s="51" t="str">
        <x:v>Restraint, Binding</x:v>
      </x:c>
      <x:c r="J82" s="51" t="str">
        <x:v>1 hour</x:v>
      </x:c>
      <x:c r="K82" s="51" t="str">
        <x:v>Immediately ends the Restrained condition if present and grants immunity to Restrained for 1 hour.</x:v>
      </x:c>
      <x:c r="L82" s="39" t="str">
        <x:v>Bonus Action to use or apply</x:v>
      </x:c>
    </x:row>
    <x:row r="83">
      <x:c r="A83" s="38" t="str">
        <x:v>Elixirs</x:v>
      </x:c>
      <x:c r="B83" s="51" t="str">
        <x:v>Immunity Elixirs</x:v>
      </x:c>
      <x:c r="C83" s="51" t="str">
        <x:v>Elixir of Stunning Immunity</x:v>
      </x:c>
      <x:c r="D83" s="51" t="str">
        <x:v>Rare</x:v>
      </x:c>
      <x:c r="E83" s="51" t="n">
        <x:v>28</x:v>
      </x:c>
      <x:c r="F83" s="51" t="str">
        <x:v>Root</x:v>
      </x:c>
      <x:c r="G83" s="51" t="str">
        <x:v>Flower</x:v>
      </x:c>
      <x:c r="H83" s="51" t="str">
        <x:v>Mineral / Salt / Ash</x:v>
      </x:c>
      <x:c r="I83" s="51" t="str">
        <x:v>Stunning, Nerve, Lightning, Thunder</x:v>
      </x:c>
      <x:c r="J83" s="51" t="str">
        <x:v>1 hour</x:v>
      </x:c>
      <x:c r="K83" s="51" t="str">
        <x:v>Immediately ends the Stunned condition if present and grants immunity to Stunned for 1 hour.</x:v>
      </x:c>
      <x:c r="L83" s="39" t="str">
        <x:v>Bonus Action to use or apply</x:v>
      </x:c>
    </x:row>
    <x:row r="84">
      <x:c r="A84" s="38" t="str">
        <x:v>Elixirs</x:v>
      </x:c>
      <x:c r="B84" s="51" t="str">
        <x:v>Resistance Elixirs</x:v>
      </x:c>
      <x:c r="C84" s="51" t="str">
        <x:v>Elixir of Acid Resistance</x:v>
      </x:c>
      <x:c r="D84" s="51" t="str">
        <x:v>Uncommon</x:v>
      </x:c>
      <x:c r="E84" s="51" t="n">
        <x:v>22</x:v>
      </x:c>
      <x:c r="F84" s="51" t="str">
        <x:v>Moss / Lichen</x:v>
      </x:c>
      <x:c r="G84" s="51" t="str">
        <x:v>Root</x:v>
      </x:c>
      <x:c r="H84" s="51" t="str">
        <x:v>Mineral / Salt / Ash</x:v>
      </x:c>
      <x:c r="I84" s="51" t="str">
        <x:v>Acid</x:v>
      </x:c>
      <x:c r="J84" s="51" t="str">
        <x:v>1 hour</x:v>
      </x:c>
      <x:c r="K84" s="51" t="str">
        <x:v>The drinker gains resistance to acid damage for 1 hour.</x:v>
      </x:c>
      <x:c r="L84" s="39" t="str">
        <x:v>Bonus Action to use or apply</x:v>
      </x:c>
    </x:row>
    <x:row r="85">
      <x:c r="A85" s="38" t="str">
        <x:v>Elixirs</x:v>
      </x:c>
      <x:c r="B85" s="51" t="str">
        <x:v>Resistance Elixirs</x:v>
      </x:c>
      <x:c r="C85" s="51" t="str">
        <x:v>Elixir of Cold Resistance</x:v>
      </x:c>
      <x:c r="D85" s="51" t="str">
        <x:v>Uncommon</x:v>
      </x:c>
      <x:c r="E85" s="51" t="n">
        <x:v>22</x:v>
      </x:c>
      <x:c r="F85" s="51" t="str">
        <x:v>Moss / Lichen</x:v>
      </x:c>
      <x:c r="G85" s="51" t="str">
        <x:v>Root</x:v>
      </x:c>
      <x:c r="H85" s="51" t="str">
        <x:v>Mineral / Salt / Ash</x:v>
      </x:c>
      <x:c r="I85" s="51" t="str">
        <x:v>Cold</x:v>
      </x:c>
      <x:c r="J85" s="51" t="str">
        <x:v>1 hour</x:v>
      </x:c>
      <x:c r="K85" s="51" t="str">
        <x:v>The drinker gains resistance to cold damage for 1 hour.</x:v>
      </x:c>
      <x:c r="L85" s="39" t="str">
        <x:v>Bonus Action to use or apply</x:v>
      </x:c>
    </x:row>
    <x:row r="86">
      <x:c r="A86" s="38" t="str">
        <x:v>Elixirs</x:v>
      </x:c>
      <x:c r="B86" s="51" t="str">
        <x:v>Resistance Elixirs</x:v>
      </x:c>
      <x:c r="C86" s="51" t="str">
        <x:v>Elixir of Fire Resistance</x:v>
      </x:c>
      <x:c r="D86" s="51" t="str">
        <x:v>Uncommon</x:v>
      </x:c>
      <x:c r="E86" s="51" t="n">
        <x:v>22</x:v>
      </x:c>
      <x:c r="F86" s="51" t="str">
        <x:v>Moss / Lichen</x:v>
      </x:c>
      <x:c r="G86" s="51" t="str">
        <x:v>Root</x:v>
      </x:c>
      <x:c r="H86" s="51" t="str">
        <x:v>Mineral / Salt / Ash</x:v>
      </x:c>
      <x:c r="I86" s="51" t="str">
        <x:v>Fire</x:v>
      </x:c>
      <x:c r="J86" s="51" t="str">
        <x:v>1 hour</x:v>
      </x:c>
      <x:c r="K86" s="51" t="str">
        <x:v>The drinker gains resistance to fire damage for 1 hour.</x:v>
      </x:c>
      <x:c r="L86" s="39" t="str">
        <x:v>Bonus Action to use or apply</x:v>
      </x:c>
    </x:row>
    <x:row r="87">
      <x:c r="A87" s="38" t="str">
        <x:v>Elixirs</x:v>
      </x:c>
      <x:c r="B87" s="51" t="str">
        <x:v>Resistance Elixirs</x:v>
      </x:c>
      <x:c r="C87" s="51" t="str">
        <x:v>Elixir of Force Resistance</x:v>
      </x:c>
      <x:c r="D87" s="51" t="str">
        <x:v>Uncommon</x:v>
      </x:c>
      <x:c r="E87" s="51" t="n">
        <x:v>22</x:v>
      </x:c>
      <x:c r="F87" s="51" t="str">
        <x:v>Moss / Lichen</x:v>
      </x:c>
      <x:c r="G87" s="51" t="str">
        <x:v>Root</x:v>
      </x:c>
      <x:c r="H87" s="51" t="str">
        <x:v>Mineral / Salt / Ash</x:v>
      </x:c>
      <x:c r="I87" s="51" t="str">
        <x:v>Force</x:v>
      </x:c>
      <x:c r="J87" s="51" t="str">
        <x:v>1 hour</x:v>
      </x:c>
      <x:c r="K87" s="51" t="str">
        <x:v>The drinker gains resistance to force damage for 1 hour.</x:v>
      </x:c>
      <x:c r="L87" s="39" t="str">
        <x:v>Bonus Action to use or apply</x:v>
      </x:c>
    </x:row>
    <x:row r="88">
      <x:c r="A88" s="38" t="str">
        <x:v>Elixirs</x:v>
      </x:c>
      <x:c r="B88" s="51" t="str">
        <x:v>Resistance Elixirs</x:v>
      </x:c>
      <x:c r="C88" s="51" t="str">
        <x:v>Elixir of Lightning Resistance</x:v>
      </x:c>
      <x:c r="D88" s="51" t="str">
        <x:v>Uncommon</x:v>
      </x:c>
      <x:c r="E88" s="51" t="n">
        <x:v>22</x:v>
      </x:c>
      <x:c r="F88" s="51" t="str">
        <x:v>Moss / Lichen</x:v>
      </x:c>
      <x:c r="G88" s="51" t="str">
        <x:v>Root</x:v>
      </x:c>
      <x:c r="H88" s="51" t="str">
        <x:v>Mineral / Salt / Ash</x:v>
      </x:c>
      <x:c r="I88" s="51" t="str">
        <x:v>Lightning</x:v>
      </x:c>
      <x:c r="J88" s="51" t="str">
        <x:v>1 hour</x:v>
      </x:c>
      <x:c r="K88" s="51" t="str">
        <x:v>The drinker gains resistance to lightning damage for 1 hour.</x:v>
      </x:c>
      <x:c r="L88" s="39" t="str">
        <x:v>Bonus Action to use or apply</x:v>
      </x:c>
    </x:row>
    <x:row r="89">
      <x:c r="A89" s="38" t="str">
        <x:v>Elixirs</x:v>
      </x:c>
      <x:c r="B89" s="51" t="str">
        <x:v>Resistance Elixirs</x:v>
      </x:c>
      <x:c r="C89" s="51" t="str">
        <x:v>Elixir of Necrotic Resistance</x:v>
      </x:c>
      <x:c r="D89" s="51" t="str">
        <x:v>Uncommon</x:v>
      </x:c>
      <x:c r="E89" s="51" t="n">
        <x:v>22</x:v>
      </x:c>
      <x:c r="F89" s="51" t="str">
        <x:v>Moss / Lichen</x:v>
      </x:c>
      <x:c r="G89" s="51" t="str">
        <x:v>Root</x:v>
      </x:c>
      <x:c r="H89" s="51" t="str">
        <x:v>Mineral / Salt / Ash</x:v>
      </x:c>
      <x:c r="I89" s="51" t="str">
        <x:v>Necrotic</x:v>
      </x:c>
      <x:c r="J89" s="51" t="str">
        <x:v>1 hour</x:v>
      </x:c>
      <x:c r="K89" s="51" t="str">
        <x:v>The drinker gains resistance to necrotic damage for 1 hour.</x:v>
      </x:c>
      <x:c r="L89" s="39" t="str">
        <x:v>Bonus Action to use or apply</x:v>
      </x:c>
    </x:row>
    <x:row r="90">
      <x:c r="A90" s="38" t="str">
        <x:v>Elixirs</x:v>
      </x:c>
      <x:c r="B90" s="51" t="str">
        <x:v>Resistance Elixirs</x:v>
      </x:c>
      <x:c r="C90" s="51" t="str">
        <x:v>Elixir of Poison Resistance</x:v>
      </x:c>
      <x:c r="D90" s="51" t="str">
        <x:v>Uncommon</x:v>
      </x:c>
      <x:c r="E90" s="51" t="n">
        <x:v>22</x:v>
      </x:c>
      <x:c r="F90" s="51" t="str">
        <x:v>Moss / Lichen</x:v>
      </x:c>
      <x:c r="G90" s="51" t="str">
        <x:v>Root</x:v>
      </x:c>
      <x:c r="H90" s="51" t="str">
        <x:v>Mineral / Salt / Ash</x:v>
      </x:c>
      <x:c r="I90" s="51" t="str">
        <x:v>Poison</x:v>
      </x:c>
      <x:c r="J90" s="51" t="str">
        <x:v>1 hour</x:v>
      </x:c>
      <x:c r="K90" s="51" t="str">
        <x:v>The drinker gains resistance to poison damage for 1 hour.</x:v>
      </x:c>
      <x:c r="L90" s="39" t="str">
        <x:v>Bonus Action to use or apply</x:v>
      </x:c>
    </x:row>
    <x:row r="91">
      <x:c r="A91" s="38" t="str">
        <x:v>Elixirs</x:v>
      </x:c>
      <x:c r="B91" s="51" t="str">
        <x:v>Resistance Elixirs</x:v>
      </x:c>
      <x:c r="C91" s="51" t="str">
        <x:v>Elixir of Psychic Resistance</x:v>
      </x:c>
      <x:c r="D91" s="51" t="str">
        <x:v>Uncommon</x:v>
      </x:c>
      <x:c r="E91" s="51" t="n">
        <x:v>22</x:v>
      </x:c>
      <x:c r="F91" s="51" t="str">
        <x:v>Moss / Lichen</x:v>
      </x:c>
      <x:c r="G91" s="51" t="str">
        <x:v>Root</x:v>
      </x:c>
      <x:c r="H91" s="51" t="str">
        <x:v>Mineral / Salt / Ash</x:v>
      </x:c>
      <x:c r="I91" s="51" t="str">
        <x:v>Psychic</x:v>
      </x:c>
      <x:c r="J91" s="51" t="str">
        <x:v>1 hour</x:v>
      </x:c>
      <x:c r="K91" s="51" t="str">
        <x:v>The drinker gains resistance to psychic damage for 1 hour.</x:v>
      </x:c>
      <x:c r="L91" s="39" t="str">
        <x:v>Bonus Action to use or apply</x:v>
      </x:c>
    </x:row>
    <x:row r="92">
      <x:c r="A92" s="38" t="str">
        <x:v>Elixirs</x:v>
      </x:c>
      <x:c r="B92" s="51" t="str">
        <x:v>Resistance Elixirs</x:v>
      </x:c>
      <x:c r="C92" s="51" t="str">
        <x:v>Elixir of Radiant Resistance</x:v>
      </x:c>
      <x:c r="D92" s="51" t="str">
        <x:v>Uncommon</x:v>
      </x:c>
      <x:c r="E92" s="51" t="n">
        <x:v>22</x:v>
      </x:c>
      <x:c r="F92" s="51" t="str">
        <x:v>Moss / Lichen</x:v>
      </x:c>
      <x:c r="G92" s="51" t="str">
        <x:v>Root</x:v>
      </x:c>
      <x:c r="H92" s="51" t="str">
        <x:v>Mineral / Salt / Ash</x:v>
      </x:c>
      <x:c r="I92" s="51" t="str">
        <x:v>Radiant</x:v>
      </x:c>
      <x:c r="J92" s="51" t="str">
        <x:v>1 hour</x:v>
      </x:c>
      <x:c r="K92" s="51" t="str">
        <x:v>The drinker gains resistance to radiant damage for 1 hour.</x:v>
      </x:c>
      <x:c r="L92" s="39" t="str">
        <x:v>Bonus Action to use or apply</x:v>
      </x:c>
    </x:row>
    <x:row r="93">
      <x:c r="A93" s="38" t="str">
        <x:v>Elixirs</x:v>
      </x:c>
      <x:c r="B93" s="51" t="str">
        <x:v>Resistance Elixirs</x:v>
      </x:c>
      <x:c r="C93" s="51" t="str">
        <x:v>Elixir of Thunder Resistance</x:v>
      </x:c>
      <x:c r="D93" s="51" t="str">
        <x:v>Uncommon</x:v>
      </x:c>
      <x:c r="E93" s="51" t="n">
        <x:v>22</x:v>
      </x:c>
      <x:c r="F93" s="51" t="str">
        <x:v>Moss / Lichen</x:v>
      </x:c>
      <x:c r="G93" s="51" t="str">
        <x:v>Root</x:v>
      </x:c>
      <x:c r="H93" s="51" t="str">
        <x:v>Mineral / Salt / Ash</x:v>
      </x:c>
      <x:c r="I93" s="51" t="str">
        <x:v>Thunder</x:v>
      </x:c>
      <x:c r="J93" s="51" t="str">
        <x:v>1 hour</x:v>
      </x:c>
      <x:c r="K93" s="51" t="str">
        <x:v>The drinker gains resistance to thunder damage for 1 hour.</x:v>
      </x:c>
      <x:c r="L93" s="39" t="str">
        <x:v>Bonus Action to use or apply</x:v>
      </x:c>
    </x:row>
    <x:row r="94">
      <x:c r="A94" s="38" t="str">
        <x:v>Oils</x:v>
      </x:c>
      <x:c r="B94" s="51" t="str">
        <x:v>Condition Oils</x:v>
      </x:c>
      <x:c r="C94" s="51" t="str">
        <x:v>Oil of Blindness</x:v>
      </x:c>
      <x:c r="D94" s="51" t="str">
        <x:v>Uncommon</x:v>
      </x:c>
      <x:c r="E94" s="51" t="n">
        <x:v>22</x:v>
      </x:c>
      <x:c r="F94" s="51" t="str">
        <x:v>Sap / Resin</x:v>
      </x:c>
      <x:c r="G94" s="51" t="str">
        <x:v>Venom / Poison Plant</x:v>
      </x:c>
      <x:c r="H94" s="51" t="str">
        <x:v>Mineral / Salt / Ash</x:v>
      </x:c>
      <x:c r="I94" s="51" t="str">
        <x:v>Blindness, Sight</x:v>
      </x:c>
      <x:c r="J94" s="51" t="str">
        <x:v>1 hour</x:v>
      </x:c>
      <x:c r="K94" s="51" t="str">
        <x:v>Coat one weapon or up to 20 pieces of ammunition. The next successful hit within 1 hour forces a Constitution saving throw; on a failed save, the target is Blinded for 1 minute.</x:v>
      </x:c>
      <x:c r="L94" s="39" t="str">
        <x:v>Bonus Action to use or apply</x:v>
      </x:c>
    </x:row>
    <x:row r="95">
      <x:c r="A95" s="38" t="str">
        <x:v>Oils</x:v>
      </x:c>
      <x:c r="B95" s="51" t="str">
        <x:v>Condition Oils</x:v>
      </x:c>
      <x:c r="C95" s="51" t="str">
        <x:v>Oil of Charm</x:v>
      </x:c>
      <x:c r="D95" s="51" t="str">
        <x:v>Rare</x:v>
      </x:c>
      <x:c r="E95" s="51" t="n">
        <x:v>28</x:v>
      </x:c>
      <x:c r="F95" s="51" t="str">
        <x:v>Sap / Resin</x:v>
      </x:c>
      <x:c r="G95" s="51" t="str">
        <x:v>Venom / Poison Plant</x:v>
      </x:c>
      <x:c r="H95" s="51" t="str">
        <x:v>Mineral / Salt / Ash</x:v>
      </x:c>
      <x:c r="I95" s="51" t="str">
        <x:v>Charm, Mind, Psychic, Fey</x:v>
      </x:c>
      <x:c r="J95" s="51" t="str">
        <x:v>1 hour</x:v>
      </x:c>
      <x:c r="K95" s="51" t="str">
        <x:v>Coat one weapon or up to 20 pieces of ammunition. The next successful hit within 1 hour forces a Wisdom saving throw; on a failed save, the target is Charmed for 1 minute.</x:v>
      </x:c>
      <x:c r="L95" s="39" t="str">
        <x:v>Bonus Action to use or apply</x:v>
      </x:c>
    </x:row>
    <x:row r="96">
      <x:c r="A96" s="38" t="str">
        <x:v>Oils</x:v>
      </x:c>
      <x:c r="B96" s="51" t="str">
        <x:v>Condition Oils</x:v>
      </x:c>
      <x:c r="C96" s="51" t="str">
        <x:v>Oil of Confusion</x:v>
      </x:c>
      <x:c r="D96" s="51" t="str">
        <x:v>Rare</x:v>
      </x:c>
      <x:c r="E96" s="51" t="n">
        <x:v>28</x:v>
      </x:c>
      <x:c r="F96" s="51" t="str">
        <x:v>Sap / Resin</x:v>
      </x:c>
      <x:c r="G96" s="51" t="str">
        <x:v>Venom / Poison Plant</x:v>
      </x:c>
      <x:c r="H96" s="51" t="str">
        <x:v>Mineral / Salt / Ash</x:v>
      </x:c>
      <x:c r="I96" s="51" t="str">
        <x:v>Confusion, Mind, Psychic</x:v>
      </x:c>
      <x:c r="J96" s="51" t="str">
        <x:v>1 hour</x:v>
      </x:c>
      <x:c r="K96" s="51" t="str">
        <x:v>Coat one weapon or up to 20 pieces of ammunition. The next successful hit within 1 hour forces a Wisdom saving throw; on a failed save, the target is Confused for 1 minute.</x:v>
      </x:c>
      <x:c r="L96" s="39" t="str">
        <x:v>Bonus Action to use or apply</x:v>
      </x:c>
    </x:row>
    <x:row r="97">
      <x:c r="A97" s="38" t="str">
        <x:v>Oils</x:v>
      </x:c>
      <x:c r="B97" s="51" t="str">
        <x:v>Condition Oils</x:v>
      </x:c>
      <x:c r="C97" s="51" t="str">
        <x:v>Oil of Deafness</x:v>
      </x:c>
      <x:c r="D97" s="51" t="str">
        <x:v>Uncommon</x:v>
      </x:c>
      <x:c r="E97" s="51" t="n">
        <x:v>22</x:v>
      </x:c>
      <x:c r="F97" s="51" t="str">
        <x:v>Sap / Resin</x:v>
      </x:c>
      <x:c r="G97" s="51" t="str">
        <x:v>Venom / Poison Plant</x:v>
      </x:c>
      <x:c r="H97" s="51" t="str">
        <x:v>Mineral / Salt / Ash</x:v>
      </x:c>
      <x:c r="I97" s="51" t="str">
        <x:v>Deafness, Sound, Thunder</x:v>
      </x:c>
      <x:c r="J97" s="51" t="str">
        <x:v>1 hour</x:v>
      </x:c>
      <x:c r="K97" s="51" t="str">
        <x:v>Coat one weapon or up to 20 pieces of ammunition. The next successful hit within 1 hour forces a Constitution saving throw; on a failed save, the target is Deafened for 1 minute.</x:v>
      </x:c>
      <x:c r="L97" s="39" t="str">
        <x:v>Bonus Action to use or apply</x:v>
      </x:c>
    </x:row>
    <x:row r="98">
      <x:c r="A98" s="38" t="str">
        <x:v>Oils</x:v>
      </x:c>
      <x:c r="B98" s="51" t="str">
        <x:v>Condition Oils</x:v>
      </x:c>
      <x:c r="C98" s="51" t="str">
        <x:v>Oil of Fear</x:v>
      </x:c>
      <x:c r="D98" s="51" t="str">
        <x:v>Rare</x:v>
      </x:c>
      <x:c r="E98" s="51" t="n">
        <x:v>28</x:v>
      </x:c>
      <x:c r="F98" s="51" t="str">
        <x:v>Sap / Resin</x:v>
      </x:c>
      <x:c r="G98" s="51" t="str">
        <x:v>Venom / Poison Plant</x:v>
      </x:c>
      <x:c r="H98" s="51" t="str">
        <x:v>Mineral / Salt / Ash</x:v>
      </x:c>
      <x:c r="I98" s="51" t="str">
        <x:v>Fear, Mind, Psychic</x:v>
      </x:c>
      <x:c r="J98" s="51" t="str">
        <x:v>1 hour</x:v>
      </x:c>
      <x:c r="K98" s="51" t="str">
        <x:v>Coat one weapon or up to 20 pieces of ammunition. The next successful hit within 1 hour forces a Wisdom saving throw; on a failed save, the target is Frightened for 1 minute.</x:v>
      </x:c>
      <x:c r="L98" s="39" t="str">
        <x:v>Bonus Action to use or apply</x:v>
      </x:c>
    </x:row>
    <x:row r="99">
      <x:c r="A99" s="38" t="str">
        <x:v>Oils</x:v>
      </x:c>
      <x:c r="B99" s="51" t="str">
        <x:v>Condition Oils</x:v>
      </x:c>
      <x:c r="C99" s="51" t="str">
        <x:v>Oil of Paralysis</x:v>
      </x:c>
      <x:c r="D99" s="51" t="str">
        <x:v>Rare</x:v>
      </x:c>
      <x:c r="E99" s="51" t="n">
        <x:v>28</x:v>
      </x:c>
      <x:c r="F99" s="51" t="str">
        <x:v>Sap / Resin</x:v>
      </x:c>
      <x:c r="G99" s="51" t="str">
        <x:v>Venom / Poison Plant</x:v>
      </x:c>
      <x:c r="H99" s="51" t="str">
        <x:v>Mineral / Salt / Ash</x:v>
      </x:c>
      <x:c r="I99" s="51" t="str">
        <x:v>Paralysis, Nerve</x:v>
      </x:c>
      <x:c r="J99" s="51" t="str">
        <x:v>1 hour</x:v>
      </x:c>
      <x:c r="K99" s="51" t="str">
        <x:v>Coat one weapon or up to 20 pieces of ammunition. The next successful hit within 1 hour forces a Constitution saving throw; on a failed save, the target is Paralyzed for 1 minute.</x:v>
      </x:c>
      <x:c r="L99" s="39" t="str">
        <x:v>Bonus Action to use or apply</x:v>
      </x:c>
    </x:row>
    <x:row r="100">
      <x:c r="A100" s="38" t="str">
        <x:v>Oils</x:v>
      </x:c>
      <x:c r="B100" s="51" t="str">
        <x:v>Condition Oils</x:v>
      </x:c>
      <x:c r="C100" s="51" t="str">
        <x:v>Oil of Petrification</x:v>
      </x:c>
      <x:c r="D100" s="51" t="str">
        <x:v>Very Rare</x:v>
      </x:c>
      <x:c r="E100" s="51" t="n">
        <x:v>34</x:v>
      </x:c>
      <x:c r="F100" s="51" t="str">
        <x:v>Sap / Resin</x:v>
      </x:c>
      <x:c r="G100" s="51" t="str">
        <x:v>Venom / Poison Plant</x:v>
      </x:c>
      <x:c r="H100" s="51" t="str">
        <x:v>Mineral / Salt / Ash</x:v>
      </x:c>
      <x:c r="I100" s="51" t="str">
        <x:v>Petrification, Stone</x:v>
      </x:c>
      <x:c r="J100" s="51" t="str">
        <x:v>1 hour</x:v>
      </x:c>
      <x:c r="K100" s="51" t="str">
        <x:v>Coat one weapon or up to 20 pieces of ammunition. The next successful hit within 1 hour forces a Constitution saving throw; on a failed save, the target is Petrified for 1 minute.</x:v>
      </x:c>
      <x:c r="L100" s="39" t="str">
        <x:v>Bonus Action to use or apply</x:v>
      </x:c>
    </x:row>
    <x:row r="101">
      <x:c r="A101" s="38" t="str">
        <x:v>Oils</x:v>
      </x:c>
      <x:c r="B101" s="51" t="str">
        <x:v>Condition Oils</x:v>
      </x:c>
      <x:c r="C101" s="51" t="str">
        <x:v>Oil of Poisoning</x:v>
      </x:c>
      <x:c r="D101" s="51" t="str">
        <x:v>Uncommon</x:v>
      </x:c>
      <x:c r="E101" s="51" t="n">
        <x:v>22</x:v>
      </x:c>
      <x:c r="F101" s="51" t="str">
        <x:v>Sap / Resin</x:v>
      </x:c>
      <x:c r="G101" s="51" t="str">
        <x:v>Venom / Poison Plant</x:v>
      </x:c>
      <x:c r="H101" s="51" t="str">
        <x:v>Mineral / Salt / Ash</x:v>
      </x:c>
      <x:c r="I101" s="51" t="str">
        <x:v>Poison, Venom</x:v>
      </x:c>
      <x:c r="J101" s="51" t="str">
        <x:v>1 hour</x:v>
      </x:c>
      <x:c r="K101" s="51" t="str">
        <x:v>Coat one weapon or up to 20 pieces of ammunition. The next successful hit within 1 hour forces a Constitution saving throw; on a failed save, the target is Poisoned for 1 minute.</x:v>
      </x:c>
      <x:c r="L101" s="39" t="str">
        <x:v>Bonus Action to use or apply</x:v>
      </x:c>
    </x:row>
    <x:row r="102">
      <x:c r="A102" s="38" t="str">
        <x:v>Oils</x:v>
      </x:c>
      <x:c r="B102" s="51" t="str">
        <x:v>Condition Oils</x:v>
      </x:c>
      <x:c r="C102" s="51" t="str">
        <x:v>Oil of Restraint</x:v>
      </x:c>
      <x:c r="D102" s="51" t="str">
        <x:v>Rare</x:v>
      </x:c>
      <x:c r="E102" s="51" t="n">
        <x:v>28</x:v>
      </x:c>
      <x:c r="F102" s="51" t="str">
        <x:v>Sap / Resin</x:v>
      </x:c>
      <x:c r="G102" s="51" t="str">
        <x:v>Venom / Poison Plant</x:v>
      </x:c>
      <x:c r="H102" s="51" t="str">
        <x:v>Mineral / Salt / Ash</x:v>
      </x:c>
      <x:c r="I102" s="51" t="str">
        <x:v>Restraint, Binding</x:v>
      </x:c>
      <x:c r="J102" s="51" t="str">
        <x:v>1 hour</x:v>
      </x:c>
      <x:c r="K102" s="51" t="str">
        <x:v>Coat one weapon or up to 20 pieces of ammunition. The next successful hit within 1 hour forces a Dexterity saving throw; on a failed save, the target is Restrained for 1 minute.</x:v>
      </x:c>
      <x:c r="L102" s="39" t="str">
        <x:v>Bonus Action to use or apply</x:v>
      </x:c>
    </x:row>
    <x:row r="103">
      <x:c r="A103" s="38" t="str">
        <x:v>Oils</x:v>
      </x:c>
      <x:c r="B103" s="51" t="str">
        <x:v>Condition Oils</x:v>
      </x:c>
      <x:c r="C103" s="51" t="str">
        <x:v>Oil of Stunning</x:v>
      </x:c>
      <x:c r="D103" s="51" t="str">
        <x:v>Rare</x:v>
      </x:c>
      <x:c r="E103" s="51" t="n">
        <x:v>28</x:v>
      </x:c>
      <x:c r="F103" s="51" t="str">
        <x:v>Sap / Resin</x:v>
      </x:c>
      <x:c r="G103" s="51" t="str">
        <x:v>Venom / Poison Plant</x:v>
      </x:c>
      <x:c r="H103" s="51" t="str">
        <x:v>Mineral / Salt / Ash</x:v>
      </x:c>
      <x:c r="I103" s="51" t="str">
        <x:v>Stunning, Nerve, Lightning, Thunder</x:v>
      </x:c>
      <x:c r="J103" s="51" t="str">
        <x:v>1 hour</x:v>
      </x:c>
      <x:c r="K103" s="51" t="str">
        <x:v>Coat one weapon or up to 20 pieces of ammunition. The next successful hit within 1 hour forces a Constitution saving throw; on a failed save, the target is Stunned for Until the end of the target's next turn.</x:v>
      </x:c>
      <x:c r="L103" s="39" t="str">
        <x:v>Bonus Action to use or apply</x:v>
      </x:c>
    </x:row>
    <x:row r="104">
      <x:c r="A104" s="38" t="str">
        <x:v>Oils</x:v>
      </x:c>
      <x:c r="B104" s="51" t="str">
        <x:v>Elemental Oils</x:v>
      </x:c>
      <x:c r="C104" s="51" t="str">
        <x:v>Oil of Acid</x:v>
      </x:c>
      <x:c r="D104" s="51" t="str">
        <x:v>Uncommon</x:v>
      </x:c>
      <x:c r="E104" s="51" t="n">
        <x:v>22</x:v>
      </x:c>
      <x:c r="F104" s="51" t="str">
        <x:v>Sap / Resin</x:v>
      </x:c>
      <x:c r="G104" s="51" t="str">
        <x:v>Mineral / Salt / Ash</x:v>
      </x:c>
      <x:c r="H104" s="51" t="str">
        <x:v>Thorn / Bark / Wood</x:v>
      </x:c>
      <x:c r="I104" s="51" t="str">
        <x:v>Acid</x:v>
      </x:c>
      <x:c r="J104" s="51" t="str">
        <x:v>1 hour</x:v>
      </x:c>
      <x:c r="K104" s="51" t="str">
        <x:v>Coat one weapon or up to 20 pieces of ammunition. For 1 hour, a hit deals an extra 1d4 acid damage.</x:v>
      </x:c>
      <x:c r="L104" s="39" t="str">
        <x:v>Bonus Action to use or apply</x:v>
      </x:c>
    </x:row>
    <x:row r="105">
      <x:c r="A105" s="38" t="str">
        <x:v>Oils</x:v>
      </x:c>
      <x:c r="B105" s="51" t="str">
        <x:v>Elemental Oils</x:v>
      </x:c>
      <x:c r="C105" s="51" t="str">
        <x:v>Oil of Cold</x:v>
      </x:c>
      <x:c r="D105" s="51" t="str">
        <x:v>Uncommon</x:v>
      </x:c>
      <x:c r="E105" s="51" t="n">
        <x:v>22</x:v>
      </x:c>
      <x:c r="F105" s="51" t="str">
        <x:v>Sap / Resin</x:v>
      </x:c>
      <x:c r="G105" s="51" t="str">
        <x:v>Mineral / Salt / Ash</x:v>
      </x:c>
      <x:c r="H105" s="51" t="str">
        <x:v>Thorn / Bark / Wood</x:v>
      </x:c>
      <x:c r="I105" s="51" t="str">
        <x:v>Cold</x:v>
      </x:c>
      <x:c r="J105" s="51" t="str">
        <x:v>1 hour</x:v>
      </x:c>
      <x:c r="K105" s="51" t="str">
        <x:v>Coat one weapon or up to 20 pieces of ammunition. For 1 hour, a hit deals an extra 1d4 cold damage.</x:v>
      </x:c>
      <x:c r="L105" s="39" t="str">
        <x:v>Bonus Action to use or apply</x:v>
      </x:c>
    </x:row>
    <x:row r="106">
      <x:c r="A106" s="38" t="str">
        <x:v>Oils</x:v>
      </x:c>
      <x:c r="B106" s="51" t="str">
        <x:v>Elemental Oils</x:v>
      </x:c>
      <x:c r="C106" s="51" t="str">
        <x:v>Oil of Fire</x:v>
      </x:c>
      <x:c r="D106" s="51" t="str">
        <x:v>Uncommon</x:v>
      </x:c>
      <x:c r="E106" s="51" t="n">
        <x:v>22</x:v>
      </x:c>
      <x:c r="F106" s="51" t="str">
        <x:v>Sap / Resin</x:v>
      </x:c>
      <x:c r="G106" s="51" t="str">
        <x:v>Mineral / Salt / Ash</x:v>
      </x:c>
      <x:c r="H106" s="51" t="str">
        <x:v>Thorn / Bark / Wood</x:v>
      </x:c>
      <x:c r="I106" s="51" t="str">
        <x:v>Fire</x:v>
      </x:c>
      <x:c r="J106" s="51" t="str">
        <x:v>1 hour</x:v>
      </x:c>
      <x:c r="K106" s="51" t="str">
        <x:v>Coat one weapon or up to 20 pieces of ammunition. For 1 hour, a hit deals an extra 1d4 fire damage.</x:v>
      </x:c>
      <x:c r="L106" s="39" t="str">
        <x:v>Bonus Action to use or apply</x:v>
      </x:c>
    </x:row>
    <x:row r="107">
      <x:c r="A107" s="38" t="str">
        <x:v>Oils</x:v>
      </x:c>
      <x:c r="B107" s="51" t="str">
        <x:v>Elemental Oils</x:v>
      </x:c>
      <x:c r="C107" s="51" t="str">
        <x:v>Oil of Force</x:v>
      </x:c>
      <x:c r="D107" s="51" t="str">
        <x:v>Rare</x:v>
      </x:c>
      <x:c r="E107" s="51" t="n">
        <x:v>28</x:v>
      </x:c>
      <x:c r="F107" s="51" t="str">
        <x:v>Sap / Resin</x:v>
      </x:c>
      <x:c r="G107" s="51" t="str">
        <x:v>Mineral / Salt / Ash</x:v>
      </x:c>
      <x:c r="H107" s="51" t="str">
        <x:v>Thorn / Bark / Wood</x:v>
      </x:c>
      <x:c r="I107" s="51" t="str">
        <x:v>Force</x:v>
      </x:c>
      <x:c r="J107" s="51" t="str">
        <x:v>1 hour</x:v>
      </x:c>
      <x:c r="K107" s="51" t="str">
        <x:v>Coat one weapon or up to 20 pieces of ammunition. For 1 hour, a hit deals an extra 1d6 force damage.</x:v>
      </x:c>
      <x:c r="L107" s="39" t="str">
        <x:v>Bonus Action to use or apply</x:v>
      </x:c>
    </x:row>
    <x:row r="108">
      <x:c r="A108" s="38" t="str">
        <x:v>Oils</x:v>
      </x:c>
      <x:c r="B108" s="51" t="str">
        <x:v>Elemental Oils</x:v>
      </x:c>
      <x:c r="C108" s="51" t="str">
        <x:v>Oil of Lightning</x:v>
      </x:c>
      <x:c r="D108" s="51" t="str">
        <x:v>Uncommon</x:v>
      </x:c>
      <x:c r="E108" s="51" t="n">
        <x:v>22</x:v>
      </x:c>
      <x:c r="F108" s="51" t="str">
        <x:v>Sap / Resin</x:v>
      </x:c>
      <x:c r="G108" s="51" t="str">
        <x:v>Mineral / Salt / Ash</x:v>
      </x:c>
      <x:c r="H108" s="51" t="str">
        <x:v>Thorn / Bark / Wood</x:v>
      </x:c>
      <x:c r="I108" s="51" t="str">
        <x:v>Lightning</x:v>
      </x:c>
      <x:c r="J108" s="51" t="str">
        <x:v>1 hour</x:v>
      </x:c>
      <x:c r="K108" s="51" t="str">
        <x:v>Coat one weapon or up to 20 pieces of ammunition. For 1 hour, a hit deals an extra 1d4 lightning damage.</x:v>
      </x:c>
      <x:c r="L108" s="39" t="str">
        <x:v>Bonus Action to use or apply</x:v>
      </x:c>
    </x:row>
    <x:row r="109">
      <x:c r="A109" s="38" t="str">
        <x:v>Oils</x:v>
      </x:c>
      <x:c r="B109" s="51" t="str">
        <x:v>Elemental Oils</x:v>
      </x:c>
      <x:c r="C109" s="51" t="str">
        <x:v>Oil of Necrotic</x:v>
      </x:c>
      <x:c r="D109" s="51" t="str">
        <x:v>Rare</x:v>
      </x:c>
      <x:c r="E109" s="51" t="n">
        <x:v>28</x:v>
      </x:c>
      <x:c r="F109" s="51" t="str">
        <x:v>Sap / Resin</x:v>
      </x:c>
      <x:c r="G109" s="51" t="str">
        <x:v>Mineral / Salt / Ash</x:v>
      </x:c>
      <x:c r="H109" s="51" t="str">
        <x:v>Thorn / Bark / Wood</x:v>
      </x:c>
      <x:c r="I109" s="51" t="str">
        <x:v>Necrotic</x:v>
      </x:c>
      <x:c r="J109" s="51" t="str">
        <x:v>1 hour</x:v>
      </x:c>
      <x:c r="K109" s="51" t="str">
        <x:v>Coat one weapon or up to 20 pieces of ammunition. For 1 hour, a hit deals an extra 1d6 necrotic damage.</x:v>
      </x:c>
      <x:c r="L109" s="39" t="str">
        <x:v>Bonus Action to use or apply</x:v>
      </x:c>
    </x:row>
    <x:row r="110">
      <x:c r="A110" s="38" t="str">
        <x:v>Oils</x:v>
      </x:c>
      <x:c r="B110" s="51" t="str">
        <x:v>Elemental Oils</x:v>
      </x:c>
      <x:c r="C110" s="51" t="str">
        <x:v>Oil of Poison</x:v>
      </x:c>
      <x:c r="D110" s="51" t="str">
        <x:v>Uncommon</x:v>
      </x:c>
      <x:c r="E110" s="51" t="n">
        <x:v>22</x:v>
      </x:c>
      <x:c r="F110" s="51" t="str">
        <x:v>Sap / Resin</x:v>
      </x:c>
      <x:c r="G110" s="51" t="str">
        <x:v>Mineral / Salt / Ash</x:v>
      </x:c>
      <x:c r="H110" s="51" t="str">
        <x:v>Thorn / Bark / Wood</x:v>
      </x:c>
      <x:c r="I110" s="51" t="str">
        <x:v>Poison</x:v>
      </x:c>
      <x:c r="J110" s="51" t="str">
        <x:v>1 hour</x:v>
      </x:c>
      <x:c r="K110" s="51" t="str">
        <x:v>Coat one weapon or up to 20 pieces of ammunition. For 1 hour, a hit deals an extra 1d4 poison damage.</x:v>
      </x:c>
      <x:c r="L110" s="39" t="str">
        <x:v>Bonus Action to use or apply</x:v>
      </x:c>
    </x:row>
    <x:row r="111">
      <x:c r="A111" s="38" t="str">
        <x:v>Oils</x:v>
      </x:c>
      <x:c r="B111" s="51" t="str">
        <x:v>Elemental Oils</x:v>
      </x:c>
      <x:c r="C111" s="51" t="str">
        <x:v>Oil of Psychic</x:v>
      </x:c>
      <x:c r="D111" s="51" t="str">
        <x:v>Rare</x:v>
      </x:c>
      <x:c r="E111" s="51" t="n">
        <x:v>28</x:v>
      </x:c>
      <x:c r="F111" s="51" t="str">
        <x:v>Sap / Resin</x:v>
      </x:c>
      <x:c r="G111" s="51" t="str">
        <x:v>Mineral / Salt / Ash</x:v>
      </x:c>
      <x:c r="H111" s="51" t="str">
        <x:v>Thorn / Bark / Wood</x:v>
      </x:c>
      <x:c r="I111" s="51" t="str">
        <x:v>Psychic</x:v>
      </x:c>
      <x:c r="J111" s="51" t="str">
        <x:v>1 hour</x:v>
      </x:c>
      <x:c r="K111" s="51" t="str">
        <x:v>Coat one weapon or up to 20 pieces of ammunition. For 1 hour, a hit deals an extra 1d6 psychic damage.</x:v>
      </x:c>
      <x:c r="L111" s="39" t="str">
        <x:v>Bonus Action to use or apply</x:v>
      </x:c>
    </x:row>
    <x:row r="112">
      <x:c r="A112" s="38" t="str">
        <x:v>Oils</x:v>
      </x:c>
      <x:c r="B112" s="51" t="str">
        <x:v>Elemental Oils</x:v>
      </x:c>
      <x:c r="C112" s="51" t="str">
        <x:v>Oil of Radiant</x:v>
      </x:c>
      <x:c r="D112" s="51" t="str">
        <x:v>Rare</x:v>
      </x:c>
      <x:c r="E112" s="51" t="n">
        <x:v>28</x:v>
      </x:c>
      <x:c r="F112" s="51" t="str">
        <x:v>Sap / Resin</x:v>
      </x:c>
      <x:c r="G112" s="51" t="str">
        <x:v>Mineral / Salt / Ash</x:v>
      </x:c>
      <x:c r="H112" s="51" t="str">
        <x:v>Thorn / Bark / Wood</x:v>
      </x:c>
      <x:c r="I112" s="51" t="str">
        <x:v>Radiant</x:v>
      </x:c>
      <x:c r="J112" s="51" t="str">
        <x:v>1 hour</x:v>
      </x:c>
      <x:c r="K112" s="51" t="str">
        <x:v>Coat one weapon or up to 20 pieces of ammunition. For 1 hour, a hit deals an extra 1d6 radiant damage.</x:v>
      </x:c>
      <x:c r="L112" s="39" t="str">
        <x:v>Bonus Action to use or apply</x:v>
      </x:c>
    </x:row>
    <x:row r="113">
      <x:c r="A113" s="38" t="str">
        <x:v>Oils</x:v>
      </x:c>
      <x:c r="B113" s="51" t="str">
        <x:v>Elemental Oils</x:v>
      </x:c>
      <x:c r="C113" s="51" t="str">
        <x:v>Oil of Thunder</x:v>
      </x:c>
      <x:c r="D113" s="51" t="str">
        <x:v>Uncommon</x:v>
      </x:c>
      <x:c r="E113" s="51" t="n">
        <x:v>22</x:v>
      </x:c>
      <x:c r="F113" s="51" t="str">
        <x:v>Sap / Resin</x:v>
      </x:c>
      <x:c r="G113" s="51" t="str">
        <x:v>Mineral / Salt / Ash</x:v>
      </x:c>
      <x:c r="H113" s="51" t="str">
        <x:v>Thorn / Bark / Wood</x:v>
      </x:c>
      <x:c r="I113" s="51" t="str">
        <x:v>Thunder</x:v>
      </x:c>
      <x:c r="J113" s="51" t="str">
        <x:v>1 hour</x:v>
      </x:c>
      <x:c r="K113" s="51" t="str">
        <x:v>Coat one weapon or up to 20 pieces of ammunition. For 1 hour, a hit deals an extra 1d4 thunder damage.</x:v>
      </x:c>
      <x:c r="L113" s="39" t="str">
        <x:v>Bonus Action to use or apply</x:v>
      </x:c>
    </x:row>
    <x:row r="114">
      <x:c r="A114" s="38" t="str">
        <x:v>Oils</x:v>
      </x:c>
      <x:c r="B114" s="51" t="str">
        <x:v>Utility Oils</x:v>
      </x:c>
      <x:c r="C114" s="51" t="str">
        <x:v>Oil of Etherealness</x:v>
      </x:c>
      <x:c r="D114" s="51" t="str">
        <x:v>Very Rare</x:v>
      </x:c>
      <x:c r="E114" s="51" t="n">
        <x:v>34</x:v>
      </x:c>
      <x:c r="F114" s="51" t="str">
        <x:v>Sap / Resin</x:v>
      </x:c>
      <x:c r="G114" s="51" t="str">
        <x:v>Mineral / Salt / Ash</x:v>
      </x:c>
      <x:c r="H114" s="51" t="str">
        <x:v>Flower</x:v>
      </x:c>
      <x:c r="I114" s="51" t="str"/>
      <x:c r="J114" s="51" t="str">
        <x:v>1 hour</x:v>
      </x:c>
      <x:c r="K114" s="51" t="str">
        <x:v>One vial can cover one Medium or smaller creature and grants the effect of Etherealness.</x:v>
      </x:c>
      <x:c r="L114" s="39" t="str">
        <x:v>Bonus Action to use or apply</x:v>
      </x:c>
    </x:row>
    <x:row r="115">
      <x:c r="A115" s="40" t="str">
        <x:v>Oils</x:v>
      </x:c>
      <x:c r="B115" s="52" t="str">
        <x:v>Utility Oils</x:v>
      </x:c>
      <x:c r="C115" s="52" t="str">
        <x:v>Oil of Sharpness</x:v>
      </x:c>
      <x:c r="D115" s="52" t="str">
        <x:v>Very Rare</x:v>
      </x:c>
      <x:c r="E115" s="52" t="n">
        <x:v>34</x:v>
      </x:c>
      <x:c r="F115" s="52" t="str">
        <x:v>Sap / Resin</x:v>
      </x:c>
      <x:c r="G115" s="52" t="str">
        <x:v>Thorn / Bark / Wood</x:v>
      </x:c>
      <x:c r="H115" s="52" t="str">
        <x:v>Mineral / Salt / Ash</x:v>
      </x:c>
      <x:c r="I115" s="52" t="str"/>
      <x:c r="J115" s="52" t="str">
        <x:v>1 hour</x:v>
      </x:c>
      <x:c r="K115" s="52" t="str">
        <x:v>A coated slashing or piercing weapon or ammunition gains a temporary bonus to attack and damage rolls by DM ruling.</x:v>
      </x:c>
      <x:c r="L115" s="41" t="str">
        <x:v>Bonus Action to use or apply</x:v>
      </x:c>
    </x:row>
  </x:sheetData>
  <x:conditionalFormatting sqref="A2:A115">
    <x:cfRule type="expression" dxfId="5" priority="1">
      <x:formula>A2="Potions"</x:formula>
    </x:cfRule>
    <x:cfRule type="expression" dxfId="6" priority="2">
      <x:formula>A2="Poisons"</x:formula>
    </x:cfRule>
    <x:cfRule type="expression" dxfId="7" priority="3">
      <x:formula>A2="Bombs"</x:formula>
    </x:cfRule>
    <x:cfRule type="expression" dxfId="8" priority="4">
      <x:formula>A2="Elixirs"</x:formula>
    </x:cfRule>
    <x:cfRule type="expression" dxfId="9" priority="5">
      <x:formula>A2="Oils"</x:formula>
    </x:cfRule>
  </x:conditionalFormatting>
  <x:conditionalFormatting sqref="D2:D115">
    <x:cfRule type="expression" dxfId="10" priority="6">
      <x:formula>D2="Common"</x:formula>
    </x:cfRule>
    <x:cfRule type="expression" dxfId="11" priority="7">
      <x:formula>D2="Uncommon"</x:formula>
    </x:cfRule>
    <x:cfRule type="expression" dxfId="12" priority="8">
      <x:formula>D2="Rare"</x:formula>
    </x:cfRule>
    <x:cfRule type="expression" dxfId="13" priority="9">
      <x:formula>D2="Very Rare"</x:formula>
    </x:cfRule>
    <x:cfRule type="expression" dxfId="14" priority="10">
      <x:formula>D2="Legendary"</x:formula>
    </x:cfRule>
  </x:conditionalFormatting>
  <x:pageMargins left="0.7" right="0.7" top="0.75" bottom="0.75" header="0.3" footer="0.3"/>
  <x:tableParts count="1">
    <x:tablePart xmlns:r="http://schemas.openxmlformats.org/officeDocument/2006/relationships" r:id="R0ce0b74912eb4414"/>
  </x:tableParts>
</x:worksheet>
</file>

<file path=xl/worksheets/sheet4.xml><?xml version="1.0" encoding="utf-8"?>
<x:worksheet xmlns:x="http://schemas.openxmlformats.org/spreadsheetml/2006/main">
  <x:sheetFormatPr defaultRowHeight="15"/>
  <x:cols>
    <x:col min="1" max="1" width="43" hidden="0" customWidth="1"/>
    <x:col min="2" max="2" width="38" hidden="0" customWidth="1"/>
    <x:col min="3" max="3" width="14" hidden="0" customWidth="1"/>
    <x:col min="4" max="4" width="18" hidden="0" customWidth="1"/>
    <x:col min="5" max="5" width="52" hidden="0" customWidth="1"/>
    <x:col min="6" max="6" width="68" hidden="0" customWidth="1"/>
    <x:col min="7" max="7" width="88" hidden="0" customWidth="1"/>
  </x:cols>
  <x:sheetData>
    <x:row r="1">
      <x:c r="A1" s="26" t="str">
        <x:v>Previous Name</x:v>
      </x:c>
      <x:c r="B1" s="46" t="str">
        <x:v>Current Name</x:v>
      </x:c>
      <x:c r="C1" s="46" t="str">
        <x:v>Rarity</x:v>
      </x:c>
      <x:c r="D1" s="46" t="str">
        <x:v>Duration</x:v>
      </x:c>
      <x:c r="E1" s="46" t="str">
        <x:v>Core Formula</x:v>
      </x:c>
      <x:c r="F1" s="46" t="str">
        <x:v>Fourth Slot</x:v>
      </x:c>
      <x:c r="G1" s="27" t="str">
        <x:v>Refined Effect</x:v>
      </x:c>
    </x:row>
    <x:row r="2">
      <x:c r="A2" s="38" t="str">
        <x:v>Healing Draught / Potion of Healing</x:v>
      </x:c>
      <x:c r="B2" s="51" t="str">
        <x:v>Healing Potion</x:v>
      </x:c>
      <x:c r="C2" s="51" t="str">
        <x:v>Common</x:v>
      </x:c>
      <x:c r="D2" s="51" t="str">
        <x:v>Instant</x:v>
      </x:c>
      <x:c r="E2" s="51" t="str">
        <x:v>Mushroom + Mushroom + Root</x:v>
      </x:c>
      <x:c r="F2" s="51" t="str">
        <x:v>Optional fourth slot: holy/vital component, distillation agent, or restorative monster component.</x:v>
      </x:c>
      <x:c r="G2" s="39" t="str">
        <x:v>The drinker regains 2d4 + 2 hit points. Ingredient bonuses scale both the dice and the attached flat modifier.</x:v>
      </x:c>
    </x:row>
    <x:row r="3">
      <x:c r="A3" s="38" t="str">
        <x:v>Ironroot Salve</x:v>
      </x:c>
      <x:c r="B3" s="51" t="str">
        <x:v>Potion of Anchoring</x:v>
      </x:c>
      <x:c r="C3" s="51" t="str">
        <x:v>Uncommon</x:v>
      </x:c>
      <x:c r="D3" s="51" t="str">
        <x:v>1 hour</x:v>
      </x:c>
      <x:c r="E3" s="51" t="str">
        <x:v>Thorn / Bark / Wood + Root + Sap / Resin</x:v>
      </x:c>
      <x:c r="F3" s="51" t="str">
        <x:v>Optional fourth slot: defensive enhancer, earth essence, or reinforcing monster component.</x:v>
      </x:c>
      <x:c r="G3" s="39" t="str">
        <x:v>For 1 hour, the drinker has Advantage on checks and saving throws made to resist being moved, knocked Prone, or Grappled, and counts as one size larger when determining whether a creature or effect can move them.</x:v>
      </x:c>
    </x:row>
    <x:row r="4">
      <x:c r="A4" s="38" t="str">
        <x:v>Night-Eye Drops</x:v>
      </x:c>
      <x:c r="B4" s="51" t="str">
        <x:v>Potion of Night Vision</x:v>
      </x:c>
      <x:c r="C4" s="51" t="str">
        <x:v>Uncommon</x:v>
      </x:c>
      <x:c r="D4" s="51" t="str">
        <x:v>1 hour</x:v>
      </x:c>
      <x:c r="E4" s="51" t="str">
        <x:v>Flower + Moss / Lichen + Mineral / Salt / Ash</x:v>
      </x:c>
      <x:c r="F4" s="51" t="str">
        <x:v>Optional fourth slot: shadow, moon, or sensory essence.</x:v>
      </x:c>
      <x:c r="G4" s="39" t="str">
        <x:v>For 1 hour, the drinker gains darkvision out to 60 feet. Effect bonuses increase the darkvision range by the same percentage.</x:v>
      </x:c>
    </x:row>
    <x:row r="5">
      <x:c r="A5" s="38" t="str">
        <x:v>Potion of Climbing</x:v>
      </x:c>
      <x:c r="B5" s="51" t="str">
        <x:v>Potion of Physical Prowess</x:v>
      </x:c>
      <x:c r="C5" s="51" t="str">
        <x:v>Common</x:v>
      </x:c>
      <x:c r="D5" s="51" t="str">
        <x:v>1 hour</x:v>
      </x:c>
      <x:c r="E5" s="51" t="str">
        <x:v>Leaf / Vine + Moss / Lichen + Root</x:v>
      </x:c>
      <x:c r="F5" s="51" t="str">
        <x:v>Optional fourth slot: spider, gecko, earth, or mobility component.</x:v>
      </x:c>
      <x:c r="G5" s="39" t="str">
        <x:v>For 1 hour, the drinker has Advantage on Strength-, Dexterity-, and Constitution-based ability checks and gains a climbing speed equal to walking speed. Every complete Effect +100% adds +1 to those checks.</x:v>
      </x:c>
    </x:row>
    <x:row r="6">
      <x:c r="A6" s="38" t="str">
        <x:v>—</x:v>
      </x:c>
      <x:c r="B6" s="51" t="str">
        <x:v>Potion of Growth</x:v>
      </x:c>
      <x:c r="C6" s="51" t="str">
        <x:v>Uncommon</x:v>
      </x:c>
      <x:c r="D6" s="51" t="str">
        <x:v>1d4 hours</x:v>
      </x:c>
      <x:c r="E6" s="51" t="str">
        <x:v>Root + Thorn / Bark / Wood + Mushroom</x:v>
      </x:c>
      <x:c r="F6" s="51" t="str">
        <x:v>Optional fourth slot: giant blood or transmutation enhancer.</x:v>
      </x:c>
      <x:c r="G6" s="39" t="str">
        <x:v>For 1d4 hours, the drinker increases by one size category. The drinker has Advantage on Strength checks and Strength saving throws, and weapon or Unarmed Strike hits deal an extra 1d4 damage per size category increased. Each complete Effect +100% adds one additional size-category increase and another 1d4.</x:v>
      </x:c>
    </x:row>
    <x:row r="7">
      <x:c r="A7" s="38" t="str">
        <x:v>—</x:v>
      </x:c>
      <x:c r="B7" s="51" t="str">
        <x:v>Potion of Diminution</x:v>
      </x:c>
      <x:c r="C7" s="51" t="str">
        <x:v>Rare</x:v>
      </x:c>
      <x:c r="D7" s="51" t="str">
        <x:v>1d4 hours</x:v>
      </x:c>
      <x:c r="E7" s="51" t="str">
        <x:v>Mushroom + Root + Flower</x:v>
      </x:c>
      <x:c r="F7" s="51" t="str">
        <x:v>Optional fourth slot: transmutation enhancer or size-altering essence.</x:v>
      </x:c>
      <x:c r="G7" s="39" t="str">
        <x:v>For 1d4 hours, the drinker decreases by one size category. The drinker has Advantage on Dexterity checks and gains +1 AC per size category decreased. This potion does not impose Disadvantage on Strength checks or saves. Each complete Effect +100% adds one additional size-category decrease and another +1 AC.</x:v>
      </x:c>
    </x:row>
    <x:row r="8">
      <x:c r="A8" s="38" t="str">
        <x:v>—</x:v>
      </x:c>
      <x:c r="B8" s="51" t="str">
        <x:v>Potion of Heroism</x:v>
      </x:c>
      <x:c r="C8" s="51" t="str">
        <x:v>Rare</x:v>
      </x:c>
      <x:c r="D8" s="51" t="str">
        <x:v>1 hour</x:v>
      </x:c>
      <x:c r="E8" s="51" t="str">
        <x:v>Root + Flower + Thorn / Bark / Wood</x:v>
      </x:c>
      <x:c r="F8" s="51" t="str">
        <x:v>Required fourth slot: choose a Holy Component tagged Radiant or Holy.</x:v>
      </x:c>
      <x:c r="G8" s="39" t="str">
        <x:v>The drinker gains 1d10 temporary hit points and is affected by Bless for 1 hour.</x:v>
      </x:c>
    </x:row>
    <x:row r="9">
      <x:c r="A9" s="38" t="str">
        <x:v>—</x:v>
      </x:c>
      <x:c r="B9" s="51" t="str">
        <x:v>Potion of Flying</x:v>
      </x:c>
      <x:c r="C9" s="51" t="str">
        <x:v>Very Rare</x:v>
      </x:c>
      <x:c r="D9" s="51" t="str">
        <x:v>1 hour</x:v>
      </x:c>
      <x:c r="E9" s="51" t="str">
        <x:v>Leaf / Vine + Flower + Sap / Resin</x:v>
      </x:c>
      <x:c r="F9" s="51" t="str">
        <x:v>Optional fourth slot: air essence, wing membrane, or flight enhancer.</x:v>
      </x:c>
      <x:c r="G9" s="39" t="str">
        <x:v>For 1 hour, the drinker gains a flying speed equal to walking speed and can hover. Effect bonuses increase the flying speed by the same percentage.</x:v>
      </x:c>
    </x:row>
    <x:row r="10">
      <x:c r="A10" s="38" t="str">
        <x:v>—</x:v>
      </x:c>
      <x:c r="B10" s="51" t="str">
        <x:v>Potion of Invulnerability</x:v>
      </x:c>
      <x:c r="C10" s="51" t="str">
        <x:v>Legendary</x:v>
      </x:c>
      <x:c r="D10" s="51" t="str">
        <x:v>1 day</x:v>
      </x:c>
      <x:c r="E10" s="51" t="str">
        <x:v>Thorn / Bark / Wood + Root + Mineral / Salt / Ash</x:v>
      </x:c>
      <x:c r="F10" s="51" t="str">
        <x:v>Optional fourth slot: holy, force, diamond, or mythic warding component.</x:v>
      </x:c>
      <x:c r="G10" s="39" t="str">
        <x:v>For 1 day, the drinker has resistance to all damage.</x:v>
      </x:c>
    </x:row>
    <x:row r="11">
      <x:c r="A11" s="38" t="str">
        <x:v>Quickstep Tonic</x:v>
      </x:c>
      <x:c r="B11" s="51" t="str">
        <x:v>Potion of Quickstep</x:v>
      </x:c>
      <x:c r="C11" s="51" t="str">
        <x:v>Uncommon</x:v>
      </x:c>
      <x:c r="D11" s="51" t="str">
        <x:v>1 minute</x:v>
      </x:c>
      <x:c r="E11" s="51" t="str">
        <x:v>Leaf / Vine + Flower + Sap / Resin</x:v>
      </x:c>
      <x:c r="F11" s="51" t="str">
        <x:v>Optional fourth slot: quickening enhancer or lightning/air essence.</x:v>
      </x:c>
      <x:c r="G11" s="39" t="str">
        <x:v>For 1 minute, the drinker can use Misty Step as a Bonus Action on each of their turns without expending a spell slot or components.</x:v>
      </x:c>
    </x:row>
    <x:row r="12">
      <x:c r="A12" s="38" t="str">
        <x:v>Potion of Water Breathing</x:v>
      </x:c>
      <x:c r="B12" s="51" t="str">
        <x:v>Potion of Breath</x:v>
      </x:c>
      <x:c r="C12" s="51" t="str">
        <x:v>Uncommon</x:v>
      </x:c>
      <x:c r="D12" s="51" t="str">
        <x:v>1 hour</x:v>
      </x:c>
      <x:c r="E12" s="51" t="str">
        <x:v>Flower + Sap / Resin + Mineral / Salt / Ash</x:v>
      </x:c>
      <x:c r="F12" s="51" t="str">
        <x:v>Optional fourth slot: aquatic essence, gill, mucus, or water-aligned monster component.</x:v>
      </x:c>
      <x:c r="G12" s="39" t="str">
        <x:v>For 1 hour, the drinker does not need to breathe and can survive underwater, in an airless space, or in another environment where breathing is impossible.</x:v>
      </x:c>
    </x:row>
    <x:row r="13">
      <x:c r="A13" s="40" t="str">
        <x:v>Potion of Giant Size + Potion of Storm Giant Strength</x:v>
      </x:c>
      <x:c r="B13" s="52" t="str">
        <x:v>Potion of Storm Giant Transformation</x:v>
      </x:c>
      <x:c r="C13" s="52" t="str">
        <x:v>Legendary</x:v>
      </x:c>
      <x:c r="D13" s="52" t="str">
        <x:v>1 day</x:v>
      </x:c>
      <x:c r="E13" s="52" t="str">
        <x:v>Root + Thorn / Bark / Wood + Mushroom</x:v>
      </x:c>
      <x:c r="F13" s="52" t="str">
        <x:v>Required fourth slot: choose a Monster Part carrying both Storm and Giant tags.</x:v>
      </x:c>
      <x:c r="G13" s="41" t="str">
        <x:v>For 1 day, the drinker becomes Huge and their Strength becomes 29 unless it is already higher. A Huge creature occupies a 15-by-15-foot space.</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39" hidden="0" customWidth="1"/>
    <x:col min="2" max="2" width="27" hidden="0" customWidth="1"/>
    <x:col min="3" max="3" width="36" hidden="0" customWidth="1"/>
    <x:col min="4" max="4" width="50" hidden="0" customWidth="1"/>
    <x:col min="5" max="5" width="52" hidden="0" customWidth="1"/>
    <x:col min="6" max="6" width="36" hidden="0" customWidth="1"/>
  </x:cols>
  <x:sheetData>
    <x:row r="1">
      <x:c r="A1" s="5" t="str">
        <x:v>D&amp;D Size, Space &amp; Alchemy Scaling</x:v>
      </x:c>
      <x:c r="B1" s="5"/>
      <x:c r="C1" s="5"/>
      <x:c r="D1" s="5"/>
      <x:c r="E1" s="5"/>
      <x:c r="F1" s="5"/>
    </x:row>
    <x:row r="2">
      <x:c r="A2" s="5"/>
      <x:c r="B2" s="5"/>
      <x:c r="C2" s="5"/>
      <x:c r="D2" s="5"/>
      <x:c r="E2" s="5"/>
      <x:c r="F2" s="5"/>
    </x:row>
    <x:row r="4">
      <x:c r="A4" s="26" t="str">
        <x:v>Size Category</x:v>
      </x:c>
      <x:c r="B4" s="46" t="str">
        <x:v>Space on Grid</x:v>
      </x:c>
      <x:c r="C4" s="46" t="str">
        <x:v>Map Squares</x:v>
      </x:c>
      <x:c r="D4" s="27" t="str">
        <x:v>Examples</x:v>
      </x:c>
    </x:row>
    <x:row r="5">
      <x:c r="A5" s="28" t="str">
        <x:v>Tiny</x:v>
      </x:c>
      <x:c r="B5" s="47" t="str">
        <x:v>2.5 × 2.5 ft.</x:v>
      </x:c>
      <x:c r="C5" s="47" t="str">
        <x:v>1/4 square</x:v>
      </x:c>
      <x:c r="D5" s="29" t="str">
        <x:v>Imp, Faerie Dragon</x:v>
      </x:c>
    </x:row>
    <x:row r="6">
      <x:c r="A6" s="28" t="str">
        <x:v>Small</x:v>
      </x:c>
      <x:c r="B6" s="47" t="str">
        <x:v>5 × 5 ft.</x:v>
      </x:c>
      <x:c r="C6" s="47" t="str">
        <x:v>1 square</x:v>
      </x:c>
      <x:c r="D6" s="29" t="str">
        <x:v>Gnome, Halfling</x:v>
      </x:c>
    </x:row>
    <x:row r="7">
      <x:c r="A7" s="28" t="str">
        <x:v>Medium</x:v>
      </x:c>
      <x:c r="B7" s="47" t="str">
        <x:v>5 × 5 ft.</x:v>
      </x:c>
      <x:c r="C7" s="47" t="str">
        <x:v>1 square</x:v>
      </x:c>
      <x:c r="D7" s="29" t="str">
        <x:v>Human, Elf</x:v>
      </x:c>
    </x:row>
    <x:row r="8">
      <x:c r="A8" s="28" t="str">
        <x:v>Large</x:v>
      </x:c>
      <x:c r="B8" s="47" t="str">
        <x:v>10 × 10 ft.</x:v>
      </x:c>
      <x:c r="C8" s="47" t="str">
        <x:v>4 squares (2×2)</x:v>
      </x:c>
      <x:c r="D8" s="29" t="str">
        <x:v>Ogre, Minotaur</x:v>
      </x:c>
    </x:row>
    <x:row r="9">
      <x:c r="A9" s="28" t="str">
        <x:v>Huge</x:v>
      </x:c>
      <x:c r="B9" s="47" t="str">
        <x:v>15 × 15 ft.</x:v>
      </x:c>
      <x:c r="C9" s="47" t="str">
        <x:v>9 squares (3×3)</x:v>
      </x:c>
      <x:c r="D9" s="29" t="str">
        <x:v>Fire Giant, Adult Dragon</x:v>
      </x:c>
    </x:row>
    <x:row r="10">
      <x:c r="A10" s="30" t="str">
        <x:v>Gargantuan</x:v>
      </x:c>
      <x:c r="B10" s="48" t="str">
        <x:v>20 × 20+ ft.</x:v>
      </x:c>
      <x:c r="C10" s="48" t="str">
        <x:v>16+ squares (4×4+)</x:v>
      </x:c>
      <x:c r="D10" s="31" t="str">
        <x:v>Ancient Dragon, Kraken</x:v>
      </x:c>
    </x:row>
    <x:row r="13">
      <x:c r="A13" s="12" t="str">
        <x:v>Potion Size-Step Benefits</x:v>
      </x:c>
      <x:c r="B13" s="12"/>
      <x:c r="C13" s="12"/>
      <x:c r="D13" s="12"/>
      <x:c r="E13" s="12"/>
      <x:c r="F13" s="12"/>
    </x:row>
    <x:row r="14">
      <x:c r="A14" s="26" t="str">
        <x:v>Potion</x:v>
      </x:c>
      <x:c r="B14" s="46" t="str">
        <x:v>Base Step</x:v>
      </x:c>
      <x:c r="C14" s="46" t="str">
        <x:v>Effect +100%</x:v>
      </x:c>
      <x:c r="D14" s="46" t="str">
        <x:v>Checks / Saves</x:v>
      </x:c>
      <x:c r="E14" s="46" t="str">
        <x:v>Combat Benefit</x:v>
      </x:c>
      <x:c r="F14" s="27" t="str">
        <x:v>Space Change</x:v>
      </x:c>
    </x:row>
    <x:row r="15">
      <x:c r="A15" s="38" t="str">
        <x:v>Potion of Growth</x:v>
      </x:c>
      <x:c r="B15" s="51" t="str">
        <x:v>Increase one category</x:v>
      </x:c>
      <x:c r="C15" s="51" t="str">
        <x:v>Adds one category and another 1d4 damage</x:v>
      </x:c>
      <x:c r="D15" s="51" t="str">
        <x:v>Advantage on Strength checks and Strength saves</x:v>
      </x:c>
      <x:c r="E15" s="51" t="str">
        <x:v>+1d4 damage per size step on weapon or Unarmed Strike hits</x:v>
      </x:c>
      <x:c r="F15" s="39" t="str">
        <x:v>Use the new category's grid footprint</x:v>
      </x:c>
    </x:row>
    <x:row r="16">
      <x:c r="A16" s="38" t="str">
        <x:v>Potion of Diminution</x:v>
      </x:c>
      <x:c r="B16" s="51" t="str">
        <x:v>Decrease one category</x:v>
      </x:c>
      <x:c r="C16" s="51" t="str">
        <x:v>Adds one category and another +1 AC</x:v>
      </x:c>
      <x:c r="D16" s="51" t="str">
        <x:v>Advantage on Dexterity checks; no Strength disadvantage</x:v>
      </x:c>
      <x:c r="E16" s="51" t="str">
        <x:v>+1 AC per size step</x:v>
      </x:c>
      <x:c r="F16" s="39" t="str">
        <x:v>Use the new category's grid footprint</x:v>
      </x:c>
    </x:row>
    <x:row r="17">
      <x:c r="A17" s="40" t="str">
        <x:v>Potion of Storm Giant Transformation</x:v>
      </x:c>
      <x:c r="B17" s="52" t="str">
        <x:v>Become Huge</x:v>
      </x:c>
      <x:c r="C17" s="52" t="str">
        <x:v>Fixed legendary transformation</x:v>
      </x:c>
      <x:c r="D17" s="52" t="str">
        <x:v>Strength becomes 29 unless already higher</x:v>
      </x:c>
      <x:c r="E17" s="52" t="str">
        <x:v>Huge body and 15-by-15-foot footprint</x:v>
      </x:c>
      <x:c r="F17" s="41" t="str">
        <x:v>15 × 15 ft. / 3×3 squares</x:v>
      </x:c>
    </x:row>
  </x:sheetData>
  <x:mergeCells>
    <x:mergeCell ref="A1:F2"/>
    <x:mergeCell ref="A13:F13"/>
  </x:mergeCells>
  <x:pageMargins left="0.7" right="0.7" top="0.75" bottom="0.75" header="0.3" footer="0.3"/>
</x:worksheet>
</file>

<file path=xl/worksheets/sheet6.xml><?xml version="1.0" encoding="utf-8"?>
<x:worksheet xmlns:x="http://schemas.openxmlformats.org/spreadsheetml/2006/main">
  <x:sheetFormatPr defaultRowHeight="15"/>
  <x:cols>
    <x:col min="1" max="1" width="30" hidden="0" customWidth="1"/>
    <x:col min="2" max="2" width="13" hidden="0" customWidth="1"/>
    <x:col min="3" max="3" width="14" hidden="0" customWidth="1"/>
    <x:col min="4" max="4" width="18" hidden="0" customWidth="1"/>
    <x:col min="5" max="5" width="22" hidden="0" customWidth="1"/>
    <x:col min="6" max="6" width="22" hidden="0" customWidth="1"/>
    <x:col min="7" max="7" width="16" hidden="0" customWidth="1"/>
    <x:col min="8" max="8" width="10" hidden="0" customWidth="1"/>
    <x:col min="9" max="9" width="20" hidden="0" customWidth="1"/>
    <x:col min="10" max="10" width="52" hidden="0" customWidth="1"/>
  </x:cols>
  <x:sheetData>
    <x:row r="1">
      <x:c r="A1" s="26" t="str">
        <x:v>Potion</x:v>
      </x:c>
      <x:c r="B1" s="46" t="str">
        <x:v>Rarity</x:v>
      </x:c>
      <x:c r="C1" s="46" t="str">
        <x:v>Base Craft DC</x:v>
      </x:c>
      <x:c r="D1" s="46" t="str">
        <x:v>Required Tag</x:v>
      </x:c>
      <x:c r="E1" s="46" t="str">
        <x:v>Damage</x:v>
      </x:c>
      <x:c r="F1" s="46" t="str">
        <x:v>Area</x:v>
      </x:c>
      <x:c r="G1" s="46" t="str">
        <x:v>Save</x:v>
      </x:c>
      <x:c r="H1" s="46" t="str">
        <x:v>Uses</x:v>
      </x:c>
      <x:c r="I1" s="46" t="str">
        <x:v>Duration</x:v>
      </x:c>
      <x:c r="J1" s="27" t="str">
        <x:v>Core Formula</x:v>
      </x:c>
    </x:row>
    <x:row r="2">
      <x:c r="A2" s="38" t="str">
        <x:v>Potion of Acid Breath</x:v>
      </x:c>
      <x:c r="B2" s="51" t="str">
        <x:v>Uncommon</x:v>
      </x:c>
      <x:c r="C2" s="51" t="n">
        <x:v>22</x:v>
      </x:c>
      <x:c r="D2" s="51" t="str">
        <x:v>Acid</x:v>
      </x:c>
      <x:c r="E2" s="51" t="str">
        <x:v>3d6 acid</x:v>
      </x:c>
      <x:c r="F2" s="51" t="str">
        <x:v>15-foot cone</x:v>
      </x:c>
      <x:c r="G2" s="51" t="str">
        <x:v>Dexterity</x:v>
      </x:c>
      <x:c r="H2" s="51" t="n">
        <x:v>3</x:v>
      </x:c>
      <x:c r="I2" s="51" t="str">
        <x:v>1 hour or 3 uses</x:v>
      </x:c>
      <x:c r="J2" s="39" t="str">
        <x:v>Mineral / Salt / Ash + Sap / Resin + Thorn / Bark / Wood</x:v>
      </x:c>
    </x:row>
    <x:row r="3">
      <x:c r="A3" s="38" t="str">
        <x:v>Potion of Cold Breath</x:v>
      </x:c>
      <x:c r="B3" s="51" t="str">
        <x:v>Uncommon</x:v>
      </x:c>
      <x:c r="C3" s="51" t="n">
        <x:v>22</x:v>
      </x:c>
      <x:c r="D3" s="51" t="str">
        <x:v>Cold</x:v>
      </x:c>
      <x:c r="E3" s="51" t="str">
        <x:v>3d6 cold</x:v>
      </x:c>
      <x:c r="F3" s="51" t="str">
        <x:v>15-foot cone</x:v>
      </x:c>
      <x:c r="G3" s="51" t="str">
        <x:v>Constitution</x:v>
      </x:c>
      <x:c r="H3" s="51" t="n">
        <x:v>3</x:v>
      </x:c>
      <x:c r="I3" s="51" t="str">
        <x:v>1 hour or 3 uses</x:v>
      </x:c>
      <x:c r="J3" s="39" t="str">
        <x:v>Mineral / Salt / Ash + Sap / Resin + Thorn / Bark / Wood</x:v>
      </x:c>
    </x:row>
    <x:row r="4">
      <x:c r="A4" s="38" t="str">
        <x:v>Potion of Fire Breath</x:v>
      </x:c>
      <x:c r="B4" s="51" t="str">
        <x:v>Uncommon</x:v>
      </x:c>
      <x:c r="C4" s="51" t="n">
        <x:v>22</x:v>
      </x:c>
      <x:c r="D4" s="51" t="str">
        <x:v>Fire</x:v>
      </x:c>
      <x:c r="E4" s="51" t="str">
        <x:v>3d6 fire</x:v>
      </x:c>
      <x:c r="F4" s="51" t="str">
        <x:v>15-foot cone</x:v>
      </x:c>
      <x:c r="G4" s="51" t="str">
        <x:v>Dexterity</x:v>
      </x:c>
      <x:c r="H4" s="51" t="n">
        <x:v>3</x:v>
      </x:c>
      <x:c r="I4" s="51" t="str">
        <x:v>1 hour or 3 uses</x:v>
      </x:c>
      <x:c r="J4" s="39" t="str">
        <x:v>Mineral / Salt / Ash + Sap / Resin + Thorn / Bark / Wood</x:v>
      </x:c>
    </x:row>
    <x:row r="5">
      <x:c r="A5" s="38" t="str">
        <x:v>Potion of Force Breath</x:v>
      </x:c>
      <x:c r="B5" s="51" t="str">
        <x:v>Uncommon</x:v>
      </x:c>
      <x:c r="C5" s="51" t="n">
        <x:v>22</x:v>
      </x:c>
      <x:c r="D5" s="51" t="str">
        <x:v>Force</x:v>
      </x:c>
      <x:c r="E5" s="51" t="str">
        <x:v>3d6 force</x:v>
      </x:c>
      <x:c r="F5" s="51" t="str">
        <x:v>15-foot cone</x:v>
      </x:c>
      <x:c r="G5" s="51" t="str">
        <x:v>Strength</x:v>
      </x:c>
      <x:c r="H5" s="51" t="n">
        <x:v>3</x:v>
      </x:c>
      <x:c r="I5" s="51" t="str">
        <x:v>1 hour or 3 uses</x:v>
      </x:c>
      <x:c r="J5" s="39" t="str">
        <x:v>Mineral / Salt / Ash + Sap / Resin + Thorn / Bark / Wood</x:v>
      </x:c>
    </x:row>
    <x:row r="6">
      <x:c r="A6" s="38" t="str">
        <x:v>Potion of Lightning Breath</x:v>
      </x:c>
      <x:c r="B6" s="51" t="str">
        <x:v>Uncommon</x:v>
      </x:c>
      <x:c r="C6" s="51" t="n">
        <x:v>22</x:v>
      </x:c>
      <x:c r="D6" s="51" t="str">
        <x:v>Lightning</x:v>
      </x:c>
      <x:c r="E6" s="51" t="str">
        <x:v>3d6 lightning</x:v>
      </x:c>
      <x:c r="F6" s="51" t="str">
        <x:v>15-foot cone</x:v>
      </x:c>
      <x:c r="G6" s="51" t="str">
        <x:v>Dexterity</x:v>
      </x:c>
      <x:c r="H6" s="51" t="n">
        <x:v>3</x:v>
      </x:c>
      <x:c r="I6" s="51" t="str">
        <x:v>1 hour or 3 uses</x:v>
      </x:c>
      <x:c r="J6" s="39" t="str">
        <x:v>Mineral / Salt / Ash + Sap / Resin + Thorn / Bark / Wood</x:v>
      </x:c>
    </x:row>
    <x:row r="7">
      <x:c r="A7" s="38" t="str">
        <x:v>Potion of Necrotic Breath</x:v>
      </x:c>
      <x:c r="B7" s="51" t="str">
        <x:v>Uncommon</x:v>
      </x:c>
      <x:c r="C7" s="51" t="n">
        <x:v>22</x:v>
      </x:c>
      <x:c r="D7" s="51" t="str">
        <x:v>Necrotic</x:v>
      </x:c>
      <x:c r="E7" s="51" t="str">
        <x:v>3d6 necrotic</x:v>
      </x:c>
      <x:c r="F7" s="51" t="str">
        <x:v>15-foot cone</x:v>
      </x:c>
      <x:c r="G7" s="51" t="str">
        <x:v>Constitution</x:v>
      </x:c>
      <x:c r="H7" s="51" t="n">
        <x:v>3</x:v>
      </x:c>
      <x:c r="I7" s="51" t="str">
        <x:v>1 hour or 3 uses</x:v>
      </x:c>
      <x:c r="J7" s="39" t="str">
        <x:v>Mineral / Salt / Ash + Sap / Resin + Thorn / Bark / Wood</x:v>
      </x:c>
    </x:row>
    <x:row r="8">
      <x:c r="A8" s="38" t="str">
        <x:v>Potion of Poison Breath</x:v>
      </x:c>
      <x:c r="B8" s="51" t="str">
        <x:v>Uncommon</x:v>
      </x:c>
      <x:c r="C8" s="51" t="n">
        <x:v>22</x:v>
      </x:c>
      <x:c r="D8" s="51" t="str">
        <x:v>Poison</x:v>
      </x:c>
      <x:c r="E8" s="51" t="str">
        <x:v>3d6 poison</x:v>
      </x:c>
      <x:c r="F8" s="51" t="str">
        <x:v>15-foot cone</x:v>
      </x:c>
      <x:c r="G8" s="51" t="str">
        <x:v>Constitution</x:v>
      </x:c>
      <x:c r="H8" s="51" t="n">
        <x:v>3</x:v>
      </x:c>
      <x:c r="I8" s="51" t="str">
        <x:v>1 hour or 3 uses</x:v>
      </x:c>
      <x:c r="J8" s="39" t="str">
        <x:v>Mineral / Salt / Ash + Sap / Resin + Thorn / Bark / Wood</x:v>
      </x:c>
    </x:row>
    <x:row r="9">
      <x:c r="A9" s="38" t="str">
        <x:v>Potion of Psychic Breath</x:v>
      </x:c>
      <x:c r="B9" s="51" t="str">
        <x:v>Uncommon</x:v>
      </x:c>
      <x:c r="C9" s="51" t="n">
        <x:v>22</x:v>
      </x:c>
      <x:c r="D9" s="51" t="str">
        <x:v>Psychic</x:v>
      </x:c>
      <x:c r="E9" s="51" t="str">
        <x:v>3d6 psychic</x:v>
      </x:c>
      <x:c r="F9" s="51" t="str">
        <x:v>15-foot cone</x:v>
      </x:c>
      <x:c r="G9" s="51" t="str">
        <x:v>Wisdom</x:v>
      </x:c>
      <x:c r="H9" s="51" t="n">
        <x:v>3</x:v>
      </x:c>
      <x:c r="I9" s="51" t="str">
        <x:v>1 hour or 3 uses</x:v>
      </x:c>
      <x:c r="J9" s="39" t="str">
        <x:v>Mineral / Salt / Ash + Sap / Resin + Thorn / Bark / Wood</x:v>
      </x:c>
    </x:row>
    <x:row r="10">
      <x:c r="A10" s="38" t="str">
        <x:v>Potion of Radiant Breath</x:v>
      </x:c>
      <x:c r="B10" s="51" t="str">
        <x:v>Uncommon</x:v>
      </x:c>
      <x:c r="C10" s="51" t="n">
        <x:v>22</x:v>
      </x:c>
      <x:c r="D10" s="51" t="str">
        <x:v>Radiant</x:v>
      </x:c>
      <x:c r="E10" s="51" t="str">
        <x:v>3d6 radiant</x:v>
      </x:c>
      <x:c r="F10" s="51" t="str">
        <x:v>15-foot cone</x:v>
      </x:c>
      <x:c r="G10" s="51" t="str">
        <x:v>Constitution</x:v>
      </x:c>
      <x:c r="H10" s="51" t="n">
        <x:v>3</x:v>
      </x:c>
      <x:c r="I10" s="51" t="str">
        <x:v>1 hour or 3 uses</x:v>
      </x:c>
      <x:c r="J10" s="39" t="str">
        <x:v>Mineral / Salt / Ash + Sap / Resin + Thorn / Bark / Wood</x:v>
      </x:c>
    </x:row>
    <x:row r="11">
      <x:c r="A11" s="40" t="str">
        <x:v>Potion of Thunder Breath</x:v>
      </x:c>
      <x:c r="B11" s="52" t="str">
        <x:v>Uncommon</x:v>
      </x:c>
      <x:c r="C11" s="52" t="n">
        <x:v>22</x:v>
      </x:c>
      <x:c r="D11" s="52" t="str">
        <x:v>Thunder</x:v>
      </x:c>
      <x:c r="E11" s="52" t="str">
        <x:v>3d6 thunder</x:v>
      </x:c>
      <x:c r="F11" s="52" t="str">
        <x:v>15-foot cone</x:v>
      </x:c>
      <x:c r="G11" s="52" t="str">
        <x:v>Constitution</x:v>
      </x:c>
      <x:c r="H11" s="52" t="n">
        <x:v>3</x:v>
      </x:c>
      <x:c r="I11" s="52" t="str">
        <x:v>1 hour or 3 uses</x:v>
      </x:c>
      <x:c r="J11" s="41" t="str">
        <x:v>Mineral / Salt / Ash + Sap / Resin + Thorn / Bark / Wood</x:v>
      </x:c>
    </x:row>
  </x:sheetData>
  <x:pageMargins left="0.7" right="0.7" top="0.75" bottom="0.75" header="0.3" footer="0.3"/>
  <x:tableParts count="1">
    <x:tablePart xmlns:r="http://schemas.openxmlformats.org/officeDocument/2006/relationships" r:id="Rb4c4bf38dd484291"/>
  </x:tableParts>
</x:worksheet>
</file>

<file path=xl/worksheets/sheet7.xml><?xml version="1.0" encoding="utf-8"?>
<x:worksheet xmlns:x="http://schemas.openxmlformats.org/spreadsheetml/2006/main">
  <x:sheetFormatPr defaultRowHeight="15"/>
  <x:cols>
    <x:col min="1" max="1" width="30" hidden="0" customWidth="1"/>
    <x:col min="2" max="2" width="18" hidden="0" customWidth="1"/>
    <x:col min="4" max="4" width="22" hidden="0" customWidth="1"/>
    <x:col min="5" max="5" width="22" hidden="0" customWidth="1"/>
    <x:col min="6" max="6" width="22" hidden="0" customWidth="1"/>
  </x:cols>
  <x:sheetData>
    <x:row r="1">
      <x:c r="A1" s="5" t="str">
        <x:v>Bomb &amp; Alchemy Save DC Calculator</x:v>
      </x:c>
      <x:c r="B1" s="5"/>
      <x:c r="C1" s="5"/>
      <x:c r="D1" s="5"/>
      <x:c r="E1" s="5"/>
      <x:c r="F1" s="5"/>
    </x:row>
    <x:row r="2">
      <x:c r="A2" s="5"/>
      <x:c r="B2" s="5"/>
      <x:c r="C2" s="5"/>
      <x:c r="D2" s="5"/>
      <x:c r="E2" s="5"/>
      <x:c r="F2" s="5"/>
    </x:row>
    <x:row r="4">
      <x:c r="A4" s="26" t="str">
        <x:v>Input</x:v>
      </x:c>
      <x:c r="B4" s="27" t="str">
        <x:v>Value</x:v>
      </x:c>
      <x:c r="D4" s="12" t="str">
        <x:v>Formula</x:v>
      </x:c>
      <x:c r="E4" s="12"/>
      <x:c r="F4" s="12"/>
    </x:row>
    <x:row r="5">
      <x:c r="A5" s="28" t="str">
        <x:v>Crafter Proficiency</x:v>
      </x:c>
      <x:c r="B5" s="29" t="n">
        <x:v>2</x:v>
      </x:c>
      <x:c r="D5" s="61" t="str">
        <x:v>Save DC = 8 + (Crafter Proficiency × 2) + ingredient Save DC bonuses + 1 if the craft roll beats the Craft DC by 4 or more.</x:v>
      </x:c>
      <x:c r="E5" s="62"/>
      <x:c r="F5" s="63"/>
    </x:row>
    <x:row r="6">
      <x:c r="A6" s="28" t="str">
        <x:v>Ingredient Save DC Bonus</x:v>
      </x:c>
      <x:c r="B6" s="29" t="n">
        <x:v>0</x:v>
      </x:c>
      <x:c r="D6" s="38"/>
      <x:c r="E6" s="51"/>
      <x:c r="F6" s="39"/>
    </x:row>
    <x:row r="7">
      <x:c r="A7" s="28" t="str">
        <x:v>Craft DC</x:v>
      </x:c>
      <x:c r="B7" s="29" t="n">
        <x:v>22</x:v>
      </x:c>
      <x:c r="D7" s="40"/>
      <x:c r="E7" s="52"/>
      <x:c r="F7" s="41"/>
    </x:row>
    <x:row r="8">
      <x:c r="A8" s="28" t="str">
        <x:v>Craft Roll Total</x:v>
      </x:c>
      <x:c r="B8" s="29" t="n">
        <x:v>22</x:v>
      </x:c>
    </x:row>
    <x:row r="9">
      <x:c r="A9" s="30" t="str">
        <x:v>Beat Craft DC by 4+?</x:v>
      </x:c>
      <x:c r="B9" s="31" t="str">
        <x:f>IF(B8&gt;=B7+4,"Yes","No")</x:f>
        <x:v>No</x:v>
      </x:c>
    </x:row>
    <x:row r="11">
      <x:c r="A11" s="26" t="str">
        <x:v>Result</x:v>
      </x:c>
      <x:c r="B11" s="27" t="str">
        <x:v>Value</x:v>
      </x:c>
    </x:row>
    <x:row r="12">
      <x:c r="A12" s="28" t="str">
        <x:v>Base 8</x:v>
      </x:c>
      <x:c r="B12" s="29" t="n">
        <x:v>8</x:v>
      </x:c>
    </x:row>
    <x:row r="13">
      <x:c r="A13" s="28" t="str">
        <x:v>Proficiency contribution</x:v>
      </x:c>
      <x:c r="B13" s="29" t="n">
        <x:f>B5*2</x:f>
        <x:v>4</x:v>
      </x:c>
    </x:row>
    <x:row r="14">
      <x:c r="A14" s="28" t="str">
        <x:v>Craft-margin bonus</x:v>
      </x:c>
      <x:c r="B14" s="29" t="n">
        <x:f>IF(B8&gt;=B7+4,1,0)</x:f>
        <x:v>0</x:v>
      </x:c>
    </x:row>
    <x:row r="15">
      <x:c r="A15" s="30" t="str">
        <x:v>Final Save DC</x:v>
      </x:c>
      <x:c r="B15" s="57" t="n">
        <x:f>B12+B13+B6+B14</x:f>
        <x:v>12</x:v>
      </x:c>
    </x:row>
  </x:sheetData>
  <x:mergeCells>
    <x:mergeCell ref="A1:F2"/>
    <x:mergeCell ref="D4:F4"/>
    <x:mergeCell ref="D5:F7"/>
  </x:mergeCells>
  <x:dataValidations count="3">
    <x:dataValidation operator="between" sqref="B5">
      <x:formula1>0</x:formula1>
      <x:formula2>10</x:formula2>
    </x:dataValidation>
    <x:dataValidation operator="between" sqref="B6">
      <x:formula1>0</x:formula1>
      <x:formula2>20</x:formula2>
    </x:dataValidation>
    <x:dataValidation operator="between" sqref="B7:B8">
      <x:formula1>0</x:formula1>
      <x:formula2>100</x:formula2>
    </x:dataValidation>
  </x:dataValidations>
  <x:pageMargins left="0.7" right="0.7" top="0.75" bottom="0.75" header="0.3" footer="0.3"/>
</x:worksheet>
</file>

<file path=xl/worksheets/sheet8.xml><?xml version="1.0" encoding="utf-8"?>
<x:worksheet xmlns:x="http://schemas.openxmlformats.org/spreadsheetml/2006/main">
  <x:sheetFormatPr defaultRowHeight="15"/>
  <x:cols>
    <x:col min="1" max="1" width="25" hidden="0" customWidth="1"/>
    <x:col min="2" max="2" width="19" hidden="0" customWidth="1"/>
    <x:col min="3" max="3" width="16" hidden="0" customWidth="1"/>
    <x:col min="4" max="4" width="22" hidden="0" customWidth="1"/>
    <x:col min="8" max="8" width="17" hidden="0" customWidth="1"/>
    <x:col min="9" max="9" width="17" hidden="0" customWidth="1"/>
    <x:col min="10" max="10" width="16" hidden="0" customWidth="1"/>
  </x:cols>
  <x:sheetData>
    <x:row r="1">
      <x:c r="A1" s="5" t="str">
        <x:v>Interactive Brew Quality &amp; Craft DC Calculator</x:v>
      </x:c>
      <x:c r="B1" s="5"/>
      <x:c r="C1" s="5"/>
      <x:c r="D1" s="5"/>
      <x:c r="E1" s="5"/>
      <x:c r="F1" s="5"/>
    </x:row>
    <x:row r="2">
      <x:c r="A2" s="5"/>
      <x:c r="B2" s="5"/>
      <x:c r="C2" s="5"/>
      <x:c r="D2" s="5"/>
      <x:c r="E2" s="5"/>
      <x:c r="F2" s="5"/>
    </x:row>
    <x:row r="4">
      <x:c r="A4" s="26" t="str">
        <x:v>Selection</x:v>
      </x:c>
      <x:c r="B4" s="46" t="str">
        <x:v>Rarity</x:v>
      </x:c>
      <x:c r="C4" s="46" t="str">
        <x:v>Quality Steps</x:v>
      </x:c>
      <x:c r="D4" s="27" t="str">
        <x:v>Effective DC Reduction</x:v>
      </x:c>
      <x:c r="H4" s="26" t="str">
        <x:v>Rarity</x:v>
      </x:c>
      <x:c r="I4" s="46" t="str">
        <x:v>DC Reduction</x:v>
      </x:c>
      <x:c r="J4" s="27" t="str">
        <x:v>Base Craft DC</x:v>
      </x:c>
    </x:row>
    <x:row r="5">
      <x:c r="A5" s="28" t="str">
        <x:v>Formula</x:v>
      </x:c>
      <x:c r="B5" s="47" t="str">
        <x:v>Common</x:v>
      </x:c>
      <x:c r="C5" s="47" t="n">
        <x:v>0</x:v>
      </x:c>
      <x:c r="D5" s="29" t="n">
        <x:v>0</x:v>
      </x:c>
      <x:c r="H5" s="28" t="str">
        <x:v>Common</x:v>
      </x:c>
      <x:c r="I5" s="47" t="n">
        <x:v>0</x:v>
      </x:c>
      <x:c r="J5" s="29" t="n">
        <x:v>16</x:v>
      </x:c>
    </x:row>
    <x:row r="6">
      <x:c r="A6" s="28" t="str">
        <x:v>Core Ingredient 1</x:v>
      </x:c>
      <x:c r="B6" s="47" t="str">
        <x:v>Common</x:v>
      </x:c>
      <x:c r="C6" s="47" t="n">
        <x:f>MAX(0,MATCH(B6,$H$5:$H$9,0)-MATCH($B$5,$H$5:$H$9,0))</x:f>
        <x:v>0</x:v>
      </x:c>
      <x:c r="D6" s="29" t="n">
        <x:f>MIN(INDEX($I$5:$I$9,MATCH(B6,$H$5:$H$9,0)),INDEX($I$5:$I$9,MATCH($B$12,$H$5:$H$9,0)))</x:f>
        <x:v>0</x:v>
      </x:c>
      <x:c r="H6" s="28" t="str">
        <x:v>Uncommon</x:v>
      </x:c>
      <x:c r="I6" s="47" t="n">
        <x:v>2</x:v>
      </x:c>
      <x:c r="J6" s="29" t="n">
        <x:v>22</x:v>
      </x:c>
    </x:row>
    <x:row r="7">
      <x:c r="A7" s="28" t="str">
        <x:v>Core Ingredient 2</x:v>
      </x:c>
      <x:c r="B7" s="47" t="str">
        <x:v>Common</x:v>
      </x:c>
      <x:c r="C7" s="47" t="n">
        <x:f>MAX(0,MATCH(B7,$H$5:$H$9,0)-MATCH($B$5,$H$5:$H$9,0))</x:f>
        <x:v>0</x:v>
      </x:c>
      <x:c r="D7" s="29" t="n">
        <x:f>MIN(INDEX($I$5:$I$9,MATCH(B7,$H$5:$H$9,0)),INDEX($I$5:$I$9,MATCH($B$12,$H$5:$H$9,0)))</x:f>
        <x:v>0</x:v>
      </x:c>
      <x:c r="H7" s="28" t="str">
        <x:v>Rare</x:v>
      </x:c>
      <x:c r="I7" s="47" t="n">
        <x:v>4</x:v>
      </x:c>
      <x:c r="J7" s="29" t="n">
        <x:v>28</x:v>
      </x:c>
    </x:row>
    <x:row r="8">
      <x:c r="A8" s="30" t="str">
        <x:v>Core Ingredient 3</x:v>
      </x:c>
      <x:c r="B8" s="48" t="str">
        <x:v>Common</x:v>
      </x:c>
      <x:c r="C8" s="48" t="n">
        <x:f>MAX(0,MATCH(B8,$H$5:$H$9,0)-MATCH($B$5,$H$5:$H$9,0))</x:f>
        <x:v>0</x:v>
      </x:c>
      <x:c r="D8" s="31" t="n">
        <x:f>MIN(INDEX($I$5:$I$9,MATCH(B8,$H$5:$H$9,0)),INDEX($I$5:$I$9,MATCH($B$12,$H$5:$H$9,0)))</x:f>
        <x:v>0</x:v>
      </x:c>
      <x:c r="H8" s="28" t="str">
        <x:v>Very Rare</x:v>
      </x:c>
      <x:c r="I8" s="47" t="n">
        <x:v>6</x:v>
      </x:c>
      <x:c r="J8" s="29" t="n">
        <x:v>34</x:v>
      </x:c>
    </x:row>
    <x:row r="9">
      <x:c r="H9" s="30" t="str">
        <x:v>Legendary</x:v>
      </x:c>
      <x:c r="I9" s="48" t="n">
        <x:v>8</x:v>
      </x:c>
      <x:c r="J9" s="31" t="n">
        <x:v>40</x:v>
      </x:c>
    </x:row>
    <x:row r="10">
      <x:c r="A10" s="26" t="str">
        <x:v>Result</x:v>
      </x:c>
      <x:c r="B10" s="27" t="str">
        <x:v>Value</x:v>
      </x:c>
    </x:row>
    <x:row r="11">
      <x:c r="A11" s="28" t="str">
        <x:v>Total Quality Steps</x:v>
      </x:c>
      <x:c r="B11" s="29" t="n">
        <x:f>SUM(C6:C8)</x:f>
        <x:v>0</x:v>
      </x:c>
    </x:row>
    <x:row r="12">
      <x:c r="A12" s="28" t="str">
        <x:v>Finished Brew Rarity</x:v>
      </x:c>
      <x:c r="B12" s="29" t="str">
        <x:f>INDEX($H$5:$H$9,MIN(5,MATCH(B5,$H$5:$H$9,0)+INT(B11/3)))</x:f>
        <x:v>Common</x:v>
      </x:c>
    </x:row>
    <x:row r="13">
      <x:c r="A13" s="28" t="str">
        <x:v>Finished Rarity Base DC</x:v>
      </x:c>
      <x:c r="B13" s="29" t="n">
        <x:f>INDEX($J$5:$J$9,MATCH(B12,$H$5:$H$9,0))</x:f>
        <x:v>16</x:v>
      </x:c>
    </x:row>
    <x:row r="14">
      <x:c r="A14" s="28" t="str">
        <x:v>Core Ingredient Reduction</x:v>
      </x:c>
      <x:c r="B14" s="29" t="n">
        <x:f>SUM(D6:D8)</x:f>
        <x:v>0</x:v>
      </x:c>
    </x:row>
    <x:row r="15">
      <x:c r="A15" s="28" t="str">
        <x:v>Explicit Fourth-Slot DC Reduction</x:v>
      </x:c>
      <x:c r="B15" s="29" t="n">
        <x:v>0</x:v>
      </x:c>
    </x:row>
    <x:row r="16">
      <x:c r="A16" s="28" t="str">
        <x:v>Final Craft DC</x:v>
      </x:c>
      <x:c r="B16" s="29" t="n">
        <x:f>MAX(10,B13-B14-B15)</x:f>
        <x:v>16</x:v>
      </x:c>
    </x:row>
    <x:row r="17">
      <x:c r="A17" s="30" t="str">
        <x:v>Rarity Increase</x:v>
      </x:c>
      <x:c r="B17" s="31" t="n">
        <x:f>MATCH(B12,$H$5:$H$9,0)-MATCH(B5,$H$5:$H$9,0)</x:f>
        <x:v>0</x:v>
      </x:c>
    </x:row>
  </x:sheetData>
  <x:mergeCells>
    <x:mergeCell ref="A1:F2"/>
  </x:mergeCells>
  <x:dataValidations count="2">
    <x:dataValidation type="list" sqref="B5:B8">
      <x:formula1>"Common,Uncommon,Rare,Very Rare,Legendary"</x:formula1>
    </x:dataValidation>
    <x:dataValidation operator="between" sqref="B15">
      <x:formula1>0</x:formula1>
      <x:formula2>20</x:formula2>
    </x:dataValidation>
  </x:dataValidations>
  <x:pageMargins left="0.7" right="0.7" top="0.75" bottom="0.75" header="0.3" footer="0.3"/>
</x:worksheet>
</file>